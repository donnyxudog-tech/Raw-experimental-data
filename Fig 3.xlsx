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吴昆\2024\2024-10-1_P870_前列腺癌预后_吴昆\P870_外部实验结果\Fig 3\"/>
    </mc:Choice>
  </mc:AlternateContent>
  <xr:revisionPtr revIDLastSave="0" documentId="13_ncr:1_{57A23C9A-EB89-4079-910F-56BB38A7BFC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CR SIRNA" sheetId="1" r:id="rId1"/>
    <sheet name="CCK8" sheetId="2" r:id="rId2"/>
    <sheet name="transwell si" sheetId="3" r:id="rId3"/>
    <sheet name="edu si" sheetId="4" r:id="rId4"/>
    <sheet name="PCR OE" sheetId="5" r:id="rId5"/>
    <sheet name="CCK8 OE" sheetId="6" r:id="rId6"/>
    <sheet name="transwell oe" sheetId="7" r:id="rId7"/>
    <sheet name="edu o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5" l="1"/>
  <c r="O4" i="5"/>
  <c r="L4" i="5"/>
  <c r="F4" i="5"/>
  <c r="J4" i="5"/>
  <c r="J5" i="5"/>
  <c r="J6" i="5"/>
  <c r="I5" i="5"/>
  <c r="I6" i="5"/>
  <c r="I4" i="5"/>
  <c r="G5" i="5"/>
  <c r="G6" i="5"/>
  <c r="G4" i="5"/>
  <c r="F5" i="5"/>
  <c r="F6" i="5"/>
  <c r="M4" i="5" l="1"/>
  <c r="P4" i="5" s="1"/>
  <c r="M6" i="5"/>
  <c r="P6" i="5" s="1"/>
  <c r="M5" i="5"/>
  <c r="P5" i="5" s="1"/>
  <c r="L6" i="5"/>
  <c r="O6" i="5" s="1"/>
  <c r="L5" i="5"/>
  <c r="N9" i="1"/>
  <c r="R9" i="1" s="1"/>
  <c r="V9" i="1" s="1"/>
  <c r="J11" i="1"/>
  <c r="N11" i="1" s="1"/>
  <c r="R11" i="1" s="1"/>
  <c r="V11" i="1" s="1"/>
  <c r="I11" i="1"/>
  <c r="M11" i="1" s="1"/>
  <c r="Q11" i="1" s="1"/>
  <c r="U11" i="1" s="1"/>
  <c r="H11" i="1"/>
  <c r="L11" i="1" s="1"/>
  <c r="P11" i="1" s="1"/>
  <c r="T11" i="1" s="1"/>
  <c r="J10" i="1"/>
  <c r="N10" i="1" s="1"/>
  <c r="R10" i="1" s="1"/>
  <c r="V10" i="1" s="1"/>
  <c r="I10" i="1"/>
  <c r="M10" i="1" s="1"/>
  <c r="Q10" i="1" s="1"/>
  <c r="U10" i="1" s="1"/>
  <c r="H10" i="1"/>
  <c r="L10" i="1" s="1"/>
  <c r="P10" i="1" s="1"/>
  <c r="T10" i="1" s="1"/>
  <c r="J9" i="1"/>
  <c r="I9" i="1"/>
  <c r="M9" i="1" s="1"/>
  <c r="Q9" i="1" s="1"/>
  <c r="U9" i="1" s="1"/>
  <c r="H9" i="1"/>
  <c r="L9" i="1" s="1"/>
  <c r="P9" i="1" s="1"/>
  <c r="T9" i="1" s="1"/>
  <c r="H4" i="1"/>
  <c r="L4" i="1" s="1"/>
  <c r="P4" i="1" s="1"/>
  <c r="T4" i="1" s="1"/>
  <c r="I4" i="1"/>
  <c r="M4" i="1" s="1"/>
  <c r="Q4" i="1" s="1"/>
  <c r="U4" i="1" s="1"/>
  <c r="J4" i="1"/>
  <c r="N4" i="1" s="1"/>
  <c r="R4" i="1" s="1"/>
  <c r="V4" i="1" s="1"/>
  <c r="H5" i="1"/>
  <c r="L5" i="1" s="1"/>
  <c r="P5" i="1" s="1"/>
  <c r="T5" i="1" s="1"/>
  <c r="I5" i="1"/>
  <c r="M5" i="1" s="1"/>
  <c r="Q5" i="1" s="1"/>
  <c r="U5" i="1" s="1"/>
  <c r="J5" i="1"/>
  <c r="N5" i="1" s="1"/>
  <c r="R5" i="1" s="1"/>
  <c r="V5" i="1" s="1"/>
  <c r="J3" i="1"/>
  <c r="N3" i="1" s="1"/>
  <c r="R3" i="1" s="1"/>
  <c r="V3" i="1" s="1"/>
  <c r="I3" i="1"/>
  <c r="M3" i="1" s="1"/>
  <c r="Q3" i="1" s="1"/>
  <c r="U3" i="1" s="1"/>
  <c r="H3" i="1"/>
  <c r="L3" i="1" s="1"/>
  <c r="P3" i="1" s="1"/>
  <c r="T3" i="1" s="1"/>
</calcChain>
</file>

<file path=xl/sharedStrings.xml><?xml version="1.0" encoding="utf-8"?>
<sst xmlns="http://schemas.openxmlformats.org/spreadsheetml/2006/main" count="86" uniqueCount="14">
  <si>
    <t>22RV1 EPHB1</t>
    <phoneticPr fontId="1" type="noConversion"/>
  </si>
  <si>
    <t>si NC</t>
    <phoneticPr fontId="1" type="noConversion"/>
  </si>
  <si>
    <t>si EPHB1#1</t>
    <phoneticPr fontId="1" type="noConversion"/>
  </si>
  <si>
    <t>si EPHB1#2</t>
    <phoneticPr fontId="1" type="noConversion"/>
  </si>
  <si>
    <t>PC-3 EPHB1</t>
    <phoneticPr fontId="1" type="noConversion"/>
  </si>
  <si>
    <t>si EPHB1</t>
    <phoneticPr fontId="1" type="noConversion"/>
  </si>
  <si>
    <t>22RV1</t>
    <phoneticPr fontId="1" type="noConversion"/>
  </si>
  <si>
    <t>PC-3</t>
    <phoneticPr fontId="1" type="noConversion"/>
  </si>
  <si>
    <t>EPHB1</t>
    <phoneticPr fontId="1" type="noConversion"/>
  </si>
  <si>
    <t>oe NC</t>
    <phoneticPr fontId="1" type="noConversion"/>
  </si>
  <si>
    <t>oe EPHB1</t>
    <phoneticPr fontId="1" type="noConversion"/>
  </si>
  <si>
    <t>ΔCT</t>
    <phoneticPr fontId="1" type="noConversion"/>
  </si>
  <si>
    <t>ΔΔCT</t>
    <phoneticPr fontId="1" type="noConversion"/>
  </si>
  <si>
    <t>2-ΔΔCT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</si>
</sst>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zoomScale="70" zoomScaleNormal="70" workbookViewId="0">
      <selection activeCell="H29" sqref="H29"/>
    </sheetView>
  </sheetViews>
  <sheetFormatPr defaultRowHeight="14" x14ac:dyDescent="0.3"/>
  <cols>
    <col min="1" max="1" width="12.1640625" bestFit="1" customWidth="1"/>
    <col min="3" max="3" width="10.08203125" bestFit="1" customWidth="1"/>
    <col min="5" max="5" width="10.08203125" bestFit="1" customWidth="1"/>
    <col min="8" max="8" width="12.83203125" customWidth="1"/>
    <col min="12" max="12" width="11.5" customWidth="1"/>
    <col min="16" max="16" width="11.4140625" customWidth="1"/>
  </cols>
  <sheetData>
    <row r="1" spans="1:22" x14ac:dyDescent="0.3">
      <c r="A1" t="s">
        <v>0</v>
      </c>
      <c r="H1" t="s">
        <v>0</v>
      </c>
      <c r="I1" t="s">
        <v>11</v>
      </c>
      <c r="L1" t="s">
        <v>0</v>
      </c>
      <c r="M1" t="s">
        <v>12</v>
      </c>
      <c r="P1" t="s">
        <v>0</v>
      </c>
      <c r="Q1" t="s">
        <v>13</v>
      </c>
      <c r="T1" t="s">
        <v>0</v>
      </c>
    </row>
    <row r="2" spans="1:22" x14ac:dyDescent="0.3">
      <c r="A2" t="s">
        <v>1</v>
      </c>
      <c r="C2" t="s">
        <v>2</v>
      </c>
      <c r="E2" t="s">
        <v>3</v>
      </c>
      <c r="H2" t="s">
        <v>1</v>
      </c>
      <c r="I2" t="s">
        <v>2</v>
      </c>
      <c r="J2" t="s">
        <v>3</v>
      </c>
      <c r="L2" t="s">
        <v>1</v>
      </c>
      <c r="M2" t="s">
        <v>2</v>
      </c>
      <c r="N2" t="s">
        <v>3</v>
      </c>
      <c r="P2" t="s">
        <v>1</v>
      </c>
      <c r="Q2" t="s">
        <v>2</v>
      </c>
      <c r="R2" t="s">
        <v>3</v>
      </c>
      <c r="T2" t="s">
        <v>1</v>
      </c>
      <c r="U2" t="s">
        <v>2</v>
      </c>
      <c r="V2" t="s">
        <v>3</v>
      </c>
    </row>
    <row r="3" spans="1:22" x14ac:dyDescent="0.3">
      <c r="A3">
        <v>10.25</v>
      </c>
      <c r="B3">
        <v>20.399999999999999</v>
      </c>
      <c r="C3">
        <v>10.34</v>
      </c>
      <c r="D3">
        <v>21.21</v>
      </c>
      <c r="E3">
        <v>10.46</v>
      </c>
      <c r="F3">
        <v>28.17</v>
      </c>
      <c r="H3">
        <f>B3-A3</f>
        <v>10.149999999999999</v>
      </c>
      <c r="I3">
        <f>D3-C3</f>
        <v>10.870000000000001</v>
      </c>
      <c r="J3">
        <f>F3-E3</f>
        <v>17.71</v>
      </c>
      <c r="L3">
        <f>H3-10.15</f>
        <v>0</v>
      </c>
      <c r="M3">
        <f t="shared" ref="M3:N5" si="0">I3-10.15</f>
        <v>0.72000000000000064</v>
      </c>
      <c r="N3">
        <f t="shared" si="0"/>
        <v>7.5600000000000005</v>
      </c>
      <c r="P3">
        <f>POWER(2,-L3)</f>
        <v>1</v>
      </c>
      <c r="Q3">
        <f t="shared" ref="Q3:R5" si="1">POWER(2,-M3)</f>
        <v>0.60709744219752315</v>
      </c>
      <c r="R3">
        <f t="shared" si="1"/>
        <v>5.2992356540924662E-3</v>
      </c>
      <c r="T3">
        <f>P3/0.838681427361907</f>
        <v>1.1923478538752486</v>
      </c>
      <c r="U3">
        <f t="shared" ref="U3:V5" si="2">Q3/0.838681427361907</f>
        <v>0.72387133229736955</v>
      </c>
      <c r="V3">
        <f t="shared" si="2"/>
        <v>6.318532259336351E-3</v>
      </c>
    </row>
    <row r="4" spans="1:22" x14ac:dyDescent="0.3">
      <c r="A4">
        <v>10.31</v>
      </c>
      <c r="B4">
        <v>20.83</v>
      </c>
      <c r="C4">
        <v>10</v>
      </c>
      <c r="D4">
        <v>20.32</v>
      </c>
      <c r="E4">
        <v>10.199999999999999</v>
      </c>
      <c r="F4">
        <v>28.02</v>
      </c>
      <c r="H4">
        <f t="shared" ref="H4:H5" si="3">B4-A4</f>
        <v>10.519999999999998</v>
      </c>
      <c r="I4">
        <f t="shared" ref="I4:I5" si="4">D4-C4</f>
        <v>10.32</v>
      </c>
      <c r="J4">
        <f t="shared" ref="J4:J5" si="5">F4-E4</f>
        <v>17.82</v>
      </c>
      <c r="L4">
        <f t="shared" ref="L4:L5" si="6">H4-10.15</f>
        <v>0.36999999999999744</v>
      </c>
      <c r="M4">
        <f t="shared" si="0"/>
        <v>0.16999999999999993</v>
      </c>
      <c r="N4">
        <f t="shared" si="0"/>
        <v>7.67</v>
      </c>
      <c r="P4">
        <f t="shared" ref="P4:P5" si="7">POWER(2,-L4)</f>
        <v>0.77378249677119626</v>
      </c>
      <c r="Q4">
        <f t="shared" si="1"/>
        <v>0.88884268116657017</v>
      </c>
      <c r="R4">
        <f t="shared" si="1"/>
        <v>4.9102084942258921E-3</v>
      </c>
      <c r="T4">
        <f>P4/0.838681427361907</f>
        <v>0.9226178993913674</v>
      </c>
      <c r="U4">
        <f t="shared" si="2"/>
        <v>1.0598096633216818</v>
      </c>
      <c r="V4">
        <f t="shared" si="2"/>
        <v>5.8546765601702588E-3</v>
      </c>
    </row>
    <row r="5" spans="1:22" x14ac:dyDescent="0.3">
      <c r="A5">
        <v>10.11</v>
      </c>
      <c r="B5">
        <v>20.69</v>
      </c>
      <c r="C5">
        <v>10.029999999999999</v>
      </c>
      <c r="D5">
        <v>21.6</v>
      </c>
      <c r="E5">
        <v>10.4</v>
      </c>
      <c r="F5">
        <v>28.18</v>
      </c>
      <c r="H5">
        <f t="shared" si="3"/>
        <v>10.580000000000002</v>
      </c>
      <c r="I5">
        <f t="shared" si="4"/>
        <v>11.570000000000002</v>
      </c>
      <c r="J5">
        <f t="shared" si="5"/>
        <v>17.78</v>
      </c>
      <c r="L5">
        <f t="shared" si="6"/>
        <v>0.43000000000000149</v>
      </c>
      <c r="M5">
        <f t="shared" si="0"/>
        <v>1.4200000000000017</v>
      </c>
      <c r="N5">
        <f t="shared" si="0"/>
        <v>7.6300000000000008</v>
      </c>
      <c r="P5">
        <f t="shared" si="7"/>
        <v>0.7422617853145238</v>
      </c>
      <c r="Q5">
        <f t="shared" si="1"/>
        <v>0.37371231215873418</v>
      </c>
      <c r="R5">
        <f t="shared" si="1"/>
        <v>5.0482532446777017E-3</v>
      </c>
      <c r="T5">
        <f>P5/0.838681427361907</f>
        <v>0.88503424673338293</v>
      </c>
      <c r="U5">
        <f t="shared" si="2"/>
        <v>0.44559507336922366</v>
      </c>
      <c r="V5">
        <f t="shared" si="2"/>
        <v>6.0192739221102175E-3</v>
      </c>
    </row>
    <row r="7" spans="1:22" x14ac:dyDescent="0.3">
      <c r="A7" t="s">
        <v>4</v>
      </c>
      <c r="H7" t="s">
        <v>4</v>
      </c>
      <c r="L7" t="s">
        <v>4</v>
      </c>
      <c r="P7" t="s">
        <v>4</v>
      </c>
      <c r="T7" t="s">
        <v>4</v>
      </c>
    </row>
    <row r="8" spans="1:22" x14ac:dyDescent="0.3">
      <c r="A8" t="s">
        <v>1</v>
      </c>
      <c r="C8" t="s">
        <v>2</v>
      </c>
      <c r="E8" t="s">
        <v>3</v>
      </c>
      <c r="H8" t="s">
        <v>1</v>
      </c>
      <c r="I8" t="s">
        <v>2</v>
      </c>
      <c r="J8" t="s">
        <v>3</v>
      </c>
      <c r="L8" t="s">
        <v>1</v>
      </c>
      <c r="M8" t="s">
        <v>2</v>
      </c>
      <c r="N8" t="s">
        <v>3</v>
      </c>
      <c r="P8" t="s">
        <v>1</v>
      </c>
      <c r="Q8" t="s">
        <v>2</v>
      </c>
      <c r="R8" t="s">
        <v>3</v>
      </c>
      <c r="T8" t="s">
        <v>1</v>
      </c>
      <c r="U8" t="s">
        <v>2</v>
      </c>
      <c r="V8" t="s">
        <v>3</v>
      </c>
    </row>
    <row r="9" spans="1:22" x14ac:dyDescent="0.3">
      <c r="A9">
        <v>10.06</v>
      </c>
      <c r="B9">
        <v>20.23</v>
      </c>
      <c r="C9">
        <v>10.57</v>
      </c>
      <c r="D9">
        <v>20.5</v>
      </c>
      <c r="E9">
        <v>10.14</v>
      </c>
      <c r="F9">
        <v>27.28</v>
      </c>
      <c r="H9">
        <f>B9-A9</f>
        <v>10.17</v>
      </c>
      <c r="I9">
        <f>D9-C9</f>
        <v>9.93</v>
      </c>
      <c r="J9">
        <f>F9-E9</f>
        <v>17.14</v>
      </c>
      <c r="L9">
        <f>H9-10.17</f>
        <v>0</v>
      </c>
      <c r="M9">
        <f t="shared" ref="M9:N11" si="8">I9-10.17</f>
        <v>-0.24000000000000021</v>
      </c>
      <c r="N9">
        <f t="shared" si="8"/>
        <v>6.9700000000000006</v>
      </c>
      <c r="P9">
        <f>POWER(2,-L9)</f>
        <v>1</v>
      </c>
      <c r="Q9">
        <f t="shared" ref="Q9:Q11" si="9">POWER(2,-M9)</f>
        <v>1.1809926614295305</v>
      </c>
      <c r="R9">
        <f t="shared" ref="R9:R11" si="10">POWER(2,-N9)</f>
        <v>7.9766572320874411E-3</v>
      </c>
      <c r="T9">
        <f>P9/1.12433193560371</f>
        <v>0.88941705588310094</v>
      </c>
      <c r="U9">
        <f t="shared" ref="U9:V11" si="11">Q9/1.12433193560371</f>
        <v>1.0503950159482009</v>
      </c>
      <c r="V9">
        <f t="shared" si="11"/>
        <v>7.094574991151857E-3</v>
      </c>
    </row>
    <row r="10" spans="1:22" x14ac:dyDescent="0.3">
      <c r="A10">
        <v>10.48</v>
      </c>
      <c r="B10">
        <v>20.2</v>
      </c>
      <c r="C10">
        <v>10.050000000000001</v>
      </c>
      <c r="D10">
        <v>20.190000000000001</v>
      </c>
      <c r="E10">
        <v>10.199999999999999</v>
      </c>
      <c r="F10">
        <v>27.72</v>
      </c>
      <c r="H10">
        <f t="shared" ref="H10:H11" si="12">B10-A10</f>
        <v>9.7199999999999989</v>
      </c>
      <c r="I10">
        <f t="shared" ref="I10:I11" si="13">D10-C10</f>
        <v>10.14</v>
      </c>
      <c r="J10">
        <f t="shared" ref="J10:J11" si="14">F10-E10</f>
        <v>17.52</v>
      </c>
      <c r="L10">
        <f t="shared" ref="L10:L11" si="15">H10-10.17</f>
        <v>-0.45000000000000107</v>
      </c>
      <c r="M10">
        <f t="shared" si="8"/>
        <v>-2.9999999999999361E-2</v>
      </c>
      <c r="N10">
        <f t="shared" si="8"/>
        <v>7.35</v>
      </c>
      <c r="P10">
        <f t="shared" ref="P10:P11" si="16">POWER(2,-L10)</f>
        <v>1.3660402567543966</v>
      </c>
      <c r="Q10">
        <f t="shared" si="9"/>
        <v>1.0210121257071929</v>
      </c>
      <c r="R10">
        <f t="shared" si="10"/>
        <v>6.1295632648183688E-3</v>
      </c>
      <c r="T10">
        <f t="shared" ref="T10:T11" si="17">P10/1.12433193560371</f>
        <v>1.2149795033802906</v>
      </c>
      <c r="U10">
        <f t="shared" si="11"/>
        <v>0.90810559886743802</v>
      </c>
      <c r="V10">
        <f t="shared" si="11"/>
        <v>5.4517381128439618E-3</v>
      </c>
    </row>
    <row r="11" spans="1:22" x14ac:dyDescent="0.3">
      <c r="A11">
        <v>10.39</v>
      </c>
      <c r="B11">
        <v>20.55</v>
      </c>
      <c r="C11">
        <v>10.54</v>
      </c>
      <c r="D11">
        <v>20.57</v>
      </c>
      <c r="E11">
        <v>10.52</v>
      </c>
      <c r="F11">
        <v>27.85</v>
      </c>
      <c r="H11">
        <f t="shared" si="12"/>
        <v>10.16</v>
      </c>
      <c r="I11">
        <f t="shared" si="13"/>
        <v>10.030000000000001</v>
      </c>
      <c r="J11">
        <f t="shared" si="14"/>
        <v>17.330000000000002</v>
      </c>
      <c r="L11">
        <f t="shared" si="15"/>
        <v>-9.9999999999997868E-3</v>
      </c>
      <c r="M11">
        <f t="shared" si="8"/>
        <v>-0.13999999999999879</v>
      </c>
      <c r="N11">
        <f t="shared" si="8"/>
        <v>7.1600000000000019</v>
      </c>
      <c r="P11">
        <f t="shared" si="16"/>
        <v>1.0069555500567187</v>
      </c>
      <c r="Q11">
        <f t="shared" si="9"/>
        <v>1.1019051158766098</v>
      </c>
      <c r="R11">
        <f t="shared" si="10"/>
        <v>6.9923833666247761E-3</v>
      </c>
      <c r="T11">
        <f t="shared" si="17"/>
        <v>0.89560344073659515</v>
      </c>
      <c r="U11">
        <f t="shared" si="11"/>
        <v>0.98005320402550145</v>
      </c>
      <c r="V11">
        <f t="shared" si="11"/>
        <v>6.2191450275493739E-3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F1E2-C60C-438D-B407-92EA5559075B}">
  <dimension ref="A1:G9"/>
  <sheetViews>
    <sheetView workbookViewId="0">
      <selection sqref="A1:G4"/>
    </sheetView>
  </sheetViews>
  <sheetFormatPr defaultRowHeight="14" x14ac:dyDescent="0.3"/>
  <sheetData>
    <row r="1" spans="1:7" x14ac:dyDescent="0.3">
      <c r="A1" t="s">
        <v>6</v>
      </c>
      <c r="B1" s="1" t="s">
        <v>1</v>
      </c>
      <c r="C1" s="1"/>
      <c r="D1" s="1"/>
      <c r="E1" s="1" t="s">
        <v>5</v>
      </c>
      <c r="F1" s="1"/>
      <c r="G1" s="1"/>
    </row>
    <row r="2" spans="1:7" x14ac:dyDescent="0.3">
      <c r="A2">
        <v>12</v>
      </c>
      <c r="B2">
        <v>0.53200000000000003</v>
      </c>
      <c r="C2">
        <v>0.48199999999999998</v>
      </c>
      <c r="D2">
        <v>0.45700000000000002</v>
      </c>
      <c r="E2">
        <v>0.51200000000000001</v>
      </c>
      <c r="F2">
        <v>0.59099999999999997</v>
      </c>
      <c r="G2">
        <v>0.48099999999999998</v>
      </c>
    </row>
    <row r="3" spans="1:7" x14ac:dyDescent="0.3">
      <c r="A3">
        <v>24</v>
      </c>
      <c r="B3">
        <v>1.079</v>
      </c>
      <c r="C3">
        <v>0.92100000000000004</v>
      </c>
      <c r="D3">
        <v>0.995</v>
      </c>
      <c r="E3">
        <v>0.78300000000000003</v>
      </c>
      <c r="F3">
        <v>0.68700000000000006</v>
      </c>
      <c r="G3">
        <v>0.72399999999999998</v>
      </c>
    </row>
    <row r="4" spans="1:7" x14ac:dyDescent="0.3">
      <c r="A4">
        <v>36</v>
      </c>
      <c r="B4">
        <v>1.9610000000000001</v>
      </c>
      <c r="C4">
        <v>1.639</v>
      </c>
      <c r="D4">
        <v>1.8640000000000001</v>
      </c>
      <c r="E4">
        <v>0.95599999999999996</v>
      </c>
      <c r="F4">
        <v>0.88300000000000001</v>
      </c>
      <c r="G4">
        <v>0.98699999999999999</v>
      </c>
    </row>
    <row r="6" spans="1:7" x14ac:dyDescent="0.3">
      <c r="A6" t="s">
        <v>7</v>
      </c>
      <c r="B6" s="1" t="s">
        <v>1</v>
      </c>
      <c r="C6" s="1"/>
      <c r="D6" s="1"/>
      <c r="E6" s="1" t="s">
        <v>5</v>
      </c>
      <c r="F6" s="1"/>
      <c r="G6" s="1"/>
    </row>
    <row r="7" spans="1:7" x14ac:dyDescent="0.3">
      <c r="A7">
        <v>12</v>
      </c>
      <c r="B7">
        <v>0.34799999999999998</v>
      </c>
      <c r="C7">
        <v>0.32200000000000001</v>
      </c>
      <c r="D7">
        <v>0.36499999999999999</v>
      </c>
      <c r="E7">
        <v>0.35699999999999998</v>
      </c>
      <c r="F7">
        <v>0.34499999999999997</v>
      </c>
      <c r="G7">
        <v>0.32800000000000001</v>
      </c>
    </row>
    <row r="8" spans="1:7" x14ac:dyDescent="0.3">
      <c r="A8">
        <v>24</v>
      </c>
      <c r="B8">
        <v>0.755</v>
      </c>
      <c r="C8">
        <v>0.77400000000000002</v>
      </c>
      <c r="D8">
        <v>0.70599999999999996</v>
      </c>
      <c r="E8">
        <v>0.57399999999999995</v>
      </c>
      <c r="F8">
        <v>0.56699999999999995</v>
      </c>
      <c r="G8">
        <v>0.53600000000000003</v>
      </c>
    </row>
    <row r="9" spans="1:7" x14ac:dyDescent="0.3">
      <c r="A9">
        <v>36</v>
      </c>
      <c r="B9">
        <v>1.655</v>
      </c>
      <c r="C9">
        <v>1.55</v>
      </c>
      <c r="D9">
        <v>1.5980000000000001</v>
      </c>
      <c r="E9">
        <v>0.84199999999999997</v>
      </c>
      <c r="F9">
        <v>0.78800000000000003</v>
      </c>
      <c r="G9">
        <v>0.82299999999999995</v>
      </c>
    </row>
  </sheetData>
  <mergeCells count="4">
    <mergeCell ref="B1:D1"/>
    <mergeCell ref="E1:G1"/>
    <mergeCell ref="B6:D6"/>
    <mergeCell ref="E6:G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97A8-A4B0-470E-BB40-3F3A6A147C5B}">
  <dimension ref="A1:E5"/>
  <sheetViews>
    <sheetView workbookViewId="0">
      <selection sqref="A1:B5"/>
    </sheetView>
  </sheetViews>
  <sheetFormatPr defaultRowHeight="14" x14ac:dyDescent="0.3"/>
  <sheetData>
    <row r="1" spans="1:5" x14ac:dyDescent="0.3">
      <c r="A1" t="s">
        <v>6</v>
      </c>
      <c r="D1" t="s">
        <v>7</v>
      </c>
    </row>
    <row r="2" spans="1:5" x14ac:dyDescent="0.3">
      <c r="A2" t="s">
        <v>1</v>
      </c>
      <c r="B2" t="s">
        <v>5</v>
      </c>
      <c r="D2" t="s">
        <v>1</v>
      </c>
      <c r="E2" t="s">
        <v>5</v>
      </c>
    </row>
    <row r="3" spans="1:5" x14ac:dyDescent="0.3">
      <c r="A3">
        <v>73</v>
      </c>
      <c r="B3">
        <v>25</v>
      </c>
      <c r="D3">
        <v>46</v>
      </c>
      <c r="E3">
        <v>29</v>
      </c>
    </row>
    <row r="4" spans="1:5" x14ac:dyDescent="0.3">
      <c r="A4">
        <v>88</v>
      </c>
      <c r="B4">
        <v>9</v>
      </c>
      <c r="D4">
        <v>64</v>
      </c>
      <c r="E4">
        <v>11</v>
      </c>
    </row>
    <row r="5" spans="1:5" x14ac:dyDescent="0.3">
      <c r="A5">
        <v>67</v>
      </c>
      <c r="B5">
        <v>14</v>
      </c>
      <c r="D5">
        <v>57</v>
      </c>
      <c r="E5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A821-E61F-4D16-963B-2A49D95FA724}">
  <dimension ref="A1:E5"/>
  <sheetViews>
    <sheetView workbookViewId="0">
      <selection activeCell="M8" sqref="M8"/>
    </sheetView>
  </sheetViews>
  <sheetFormatPr defaultRowHeight="14" x14ac:dyDescent="0.3"/>
  <sheetData>
    <row r="1" spans="1:5" x14ac:dyDescent="0.3">
      <c r="A1" t="s">
        <v>6</v>
      </c>
      <c r="D1" t="s">
        <v>7</v>
      </c>
    </row>
    <row r="2" spans="1:5" x14ac:dyDescent="0.3">
      <c r="A2" t="s">
        <v>1</v>
      </c>
      <c r="B2" t="s">
        <v>5</v>
      </c>
      <c r="D2" t="s">
        <v>1</v>
      </c>
      <c r="E2" t="s">
        <v>5</v>
      </c>
    </row>
    <row r="3" spans="1:5" x14ac:dyDescent="0.3">
      <c r="A3">
        <v>67.2</v>
      </c>
      <c r="B3">
        <v>11.67</v>
      </c>
      <c r="D3">
        <v>57.07</v>
      </c>
      <c r="E3">
        <v>13.23</v>
      </c>
    </row>
    <row r="4" spans="1:5" x14ac:dyDescent="0.3">
      <c r="A4">
        <v>76.510000000000005</v>
      </c>
      <c r="B4">
        <v>7.88</v>
      </c>
      <c r="D4">
        <v>66.27</v>
      </c>
      <c r="E4">
        <v>9.3000000000000007</v>
      </c>
    </row>
    <row r="5" spans="1:5" x14ac:dyDescent="0.3">
      <c r="A5">
        <v>58.79</v>
      </c>
      <c r="B5">
        <v>5.86</v>
      </c>
      <c r="D5">
        <v>76</v>
      </c>
      <c r="E5">
        <v>10.01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D12-2191-415B-BC4E-17C2ECC25FF5}">
  <dimension ref="A1:P6"/>
  <sheetViews>
    <sheetView workbookViewId="0">
      <selection activeCell="D10" sqref="D10"/>
    </sheetView>
  </sheetViews>
  <sheetFormatPr defaultRowHeight="14" x14ac:dyDescent="0.3"/>
  <sheetData>
    <row r="1" spans="1:16" x14ac:dyDescent="0.3">
      <c r="A1" t="s">
        <v>8</v>
      </c>
    </row>
    <row r="2" spans="1:16" x14ac:dyDescent="0.3">
      <c r="A2" t="s">
        <v>7</v>
      </c>
      <c r="F2" t="s">
        <v>7</v>
      </c>
      <c r="I2" t="s">
        <v>7</v>
      </c>
      <c r="L2" t="s">
        <v>7</v>
      </c>
      <c r="O2" t="s">
        <v>8</v>
      </c>
    </row>
    <row r="3" spans="1:16" x14ac:dyDescent="0.3">
      <c r="A3" t="s">
        <v>9</v>
      </c>
      <c r="C3" t="s">
        <v>10</v>
      </c>
      <c r="F3" t="s">
        <v>9</v>
      </c>
      <c r="G3" t="s">
        <v>10</v>
      </c>
      <c r="I3" t="s">
        <v>9</v>
      </c>
      <c r="J3" t="s">
        <v>10</v>
      </c>
      <c r="L3" t="s">
        <v>9</v>
      </c>
      <c r="M3" t="s">
        <v>10</v>
      </c>
      <c r="O3" t="s">
        <v>9</v>
      </c>
      <c r="P3" t="s">
        <v>10</v>
      </c>
    </row>
    <row r="4" spans="1:16" x14ac:dyDescent="0.3">
      <c r="A4">
        <v>10.199999999999999</v>
      </c>
      <c r="B4">
        <v>19.13</v>
      </c>
      <c r="C4">
        <v>10.49</v>
      </c>
      <c r="D4">
        <v>13.43</v>
      </c>
      <c r="F4">
        <f>B4-A4</f>
        <v>8.93</v>
      </c>
      <c r="G4">
        <f>D4-C4</f>
        <v>2.9399999999999995</v>
      </c>
      <c r="I4">
        <f>F4-8.93</f>
        <v>0</v>
      </c>
      <c r="J4">
        <f>G4-8.93</f>
        <v>-5.99</v>
      </c>
      <c r="L4">
        <f>POWER(2,-I4)</f>
        <v>1</v>
      </c>
      <c r="M4">
        <f>POWER(2,-J4)</f>
        <v>63.557919707970314</v>
      </c>
      <c r="O4">
        <f>L4/0.994249891719958</f>
        <v>1.0057833632449231</v>
      </c>
      <c r="P4">
        <f>M4/0.994249891719958</f>
        <v>63.925498244733163</v>
      </c>
    </row>
    <row r="5" spans="1:16" x14ac:dyDescent="0.3">
      <c r="A5">
        <v>10.45</v>
      </c>
      <c r="B5">
        <v>18.97</v>
      </c>
      <c r="C5">
        <v>10.28</v>
      </c>
      <c r="D5">
        <v>13.61</v>
      </c>
      <c r="F5">
        <f t="shared" ref="F5:F6" si="0">B5-A5</f>
        <v>8.52</v>
      </c>
      <c r="G5">
        <f t="shared" ref="G5:G6" si="1">D5-C5</f>
        <v>3.33</v>
      </c>
      <c r="I5">
        <f t="shared" ref="I5:J6" si="2">F5-8.93</f>
        <v>-0.41000000000000014</v>
      </c>
      <c r="J5">
        <f t="shared" si="2"/>
        <v>-5.6</v>
      </c>
      <c r="L5">
        <f t="shared" ref="L5:M6" si="3">POWER(2,-I5)</f>
        <v>1.3286858140965117</v>
      </c>
      <c r="M5">
        <f t="shared" si="3"/>
        <v>48.502930128332721</v>
      </c>
      <c r="O5">
        <f>L5/0.994249891719958</f>
        <v>1.3363700867978081</v>
      </c>
      <c r="P5">
        <f t="shared" ref="O5:P6" si="4">M5/0.994249891719958</f>
        <v>48.783440191707996</v>
      </c>
    </row>
    <row r="6" spans="1:16" x14ac:dyDescent="0.3">
      <c r="A6">
        <v>10.17</v>
      </c>
      <c r="B6">
        <v>19.54</v>
      </c>
      <c r="C6">
        <v>10.4</v>
      </c>
      <c r="D6">
        <v>13.5</v>
      </c>
      <c r="F6">
        <f t="shared" si="0"/>
        <v>9.3699999999999992</v>
      </c>
      <c r="G6">
        <f t="shared" si="1"/>
        <v>3.0999999999999996</v>
      </c>
      <c r="I6">
        <f t="shared" si="2"/>
        <v>0.4399999999999995</v>
      </c>
      <c r="J6">
        <f t="shared" si="2"/>
        <v>-5.83</v>
      </c>
      <c r="L6">
        <f t="shared" si="3"/>
        <v>0.73713460864555092</v>
      </c>
      <c r="M6">
        <f t="shared" si="3"/>
        <v>56.885931594660462</v>
      </c>
      <c r="O6">
        <f t="shared" si="4"/>
        <v>0.74139772584775232</v>
      </c>
      <c r="P6">
        <f t="shared" si="4"/>
        <v>57.214923600598233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4496-16E9-404E-BE0C-67EBB4A59598}">
  <dimension ref="A1:G4"/>
  <sheetViews>
    <sheetView workbookViewId="0">
      <selection activeCell="D16" sqref="D16"/>
    </sheetView>
  </sheetViews>
  <sheetFormatPr defaultRowHeight="14" x14ac:dyDescent="0.3"/>
  <sheetData>
    <row r="1" spans="1:7" x14ac:dyDescent="0.3">
      <c r="A1" t="s">
        <v>7</v>
      </c>
      <c r="B1" s="1" t="s">
        <v>9</v>
      </c>
      <c r="C1" s="1"/>
      <c r="D1" s="1"/>
      <c r="E1" s="1" t="s">
        <v>10</v>
      </c>
      <c r="F1" s="1"/>
      <c r="G1" s="1"/>
    </row>
    <row r="2" spans="1:7" x14ac:dyDescent="0.3">
      <c r="A2">
        <v>12</v>
      </c>
      <c r="B2">
        <v>0.29299999999999998</v>
      </c>
      <c r="C2">
        <v>0.30099999999999999</v>
      </c>
      <c r="D2">
        <v>0.32600000000000001</v>
      </c>
      <c r="E2">
        <v>0.29499999999999998</v>
      </c>
      <c r="F2">
        <v>0.35699999999999998</v>
      </c>
      <c r="G2">
        <v>0.315</v>
      </c>
    </row>
    <row r="3" spans="1:7" x14ac:dyDescent="0.3">
      <c r="A3">
        <v>24</v>
      </c>
      <c r="B3">
        <v>0.52900000000000003</v>
      </c>
      <c r="C3">
        <v>0.61899999999999999</v>
      </c>
      <c r="D3">
        <v>0.58199999999999996</v>
      </c>
      <c r="E3">
        <v>0.82799999999999996</v>
      </c>
      <c r="F3">
        <v>0.77600000000000002</v>
      </c>
      <c r="G3">
        <v>0.73299999999999998</v>
      </c>
    </row>
    <row r="4" spans="1:7" x14ac:dyDescent="0.3">
      <c r="A4">
        <v>36</v>
      </c>
      <c r="B4">
        <v>1.268</v>
      </c>
      <c r="C4">
        <v>1.47</v>
      </c>
      <c r="D4">
        <v>1.3149999999999999</v>
      </c>
      <c r="E4">
        <v>1.9419999999999999</v>
      </c>
      <c r="F4">
        <v>2.1850000000000001</v>
      </c>
      <c r="G4">
        <v>1.8140000000000001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E819-DFA4-4228-B1C0-8F560A10E1E0}">
  <dimension ref="A1:B5"/>
  <sheetViews>
    <sheetView workbookViewId="0"/>
  </sheetViews>
  <sheetFormatPr defaultRowHeight="14" x14ac:dyDescent="0.3"/>
  <sheetData>
    <row r="1" spans="1:2" x14ac:dyDescent="0.3">
      <c r="A1" t="s">
        <v>7</v>
      </c>
    </row>
    <row r="2" spans="1:2" x14ac:dyDescent="0.3">
      <c r="A2" t="s">
        <v>9</v>
      </c>
      <c r="B2" t="s">
        <v>10</v>
      </c>
    </row>
    <row r="3" spans="1:2" x14ac:dyDescent="0.3">
      <c r="A3">
        <v>6</v>
      </c>
      <c r="B3">
        <v>63</v>
      </c>
    </row>
    <row r="4" spans="1:2" x14ac:dyDescent="0.3">
      <c r="A4">
        <v>22</v>
      </c>
      <c r="B4">
        <v>72</v>
      </c>
    </row>
    <row r="5" spans="1:2" x14ac:dyDescent="0.3">
      <c r="A5">
        <v>14</v>
      </c>
      <c r="B5">
        <v>90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CA25-9FFA-48B8-9EB1-4E3FC7ACA829}">
  <dimension ref="A1:B5"/>
  <sheetViews>
    <sheetView workbookViewId="0">
      <selection activeCell="D20" sqref="D20"/>
    </sheetView>
  </sheetViews>
  <sheetFormatPr defaultRowHeight="14" x14ac:dyDescent="0.3"/>
  <sheetData>
    <row r="1" spans="1:2" x14ac:dyDescent="0.3">
      <c r="A1" t="s">
        <v>7</v>
      </c>
    </row>
    <row r="2" spans="1:2" x14ac:dyDescent="0.3">
      <c r="A2" t="s">
        <v>9</v>
      </c>
      <c r="B2" t="s">
        <v>10</v>
      </c>
    </row>
    <row r="3" spans="1:2" x14ac:dyDescent="0.3">
      <c r="A3">
        <v>17.04</v>
      </c>
      <c r="B3">
        <v>59.98</v>
      </c>
    </row>
    <row r="4" spans="1:2" x14ac:dyDescent="0.3">
      <c r="A4">
        <v>9.0500000000000007</v>
      </c>
      <c r="B4">
        <v>69.599999999999994</v>
      </c>
    </row>
    <row r="5" spans="1:2" x14ac:dyDescent="0.3">
      <c r="A5">
        <v>10.32</v>
      </c>
      <c r="B5">
        <v>46.82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PCR SIRNA</vt:lpstr>
      <vt:lpstr>CCK8</vt:lpstr>
      <vt:lpstr>transwell si</vt:lpstr>
      <vt:lpstr>edu si</vt:lpstr>
      <vt:lpstr>PCR OE</vt:lpstr>
      <vt:lpstr>CCK8 OE</vt:lpstr>
      <vt:lpstr>transwell oe</vt:lpstr>
      <vt:lpstr>edu 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Ada</cp:lastModifiedBy>
  <dcterms:created xsi:type="dcterms:W3CDTF">2015-06-05T18:19:34Z</dcterms:created>
  <dcterms:modified xsi:type="dcterms:W3CDTF">2024-11-22T01:27:14Z</dcterms:modified>
</cp:coreProperties>
</file>