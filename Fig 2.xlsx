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0-编辑-MG\000-编辑组项目\吴昆\2024\2024-10-1_P870_前列腺癌预后_吴昆\P870_外部实验结果\Fig 1\"/>
    </mc:Choice>
  </mc:AlternateContent>
  <xr:revisionPtr revIDLastSave="0" documentId="13_ncr:1_{5AF35C48-B1EE-4474-ADEE-4E719A95AB5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A 22RV1" sheetId="1" r:id="rId1"/>
    <sheet name="B PC-3" sheetId="2" r:id="rId2"/>
    <sheet name="C-E EPHB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O3" i="1"/>
  <c r="L3" i="1"/>
  <c r="I3" i="1"/>
  <c r="F3" i="1"/>
  <c r="O16" i="3"/>
  <c r="O17" i="3"/>
  <c r="O15" i="3"/>
  <c r="J3" i="3"/>
  <c r="J4" i="3"/>
  <c r="J5" i="3"/>
  <c r="I4" i="3"/>
  <c r="I5" i="3"/>
  <c r="I3" i="3"/>
  <c r="P9" i="3"/>
  <c r="P10" i="3"/>
  <c r="P11" i="3"/>
  <c r="O10" i="3"/>
  <c r="O11" i="3"/>
  <c r="O9" i="3"/>
  <c r="J16" i="3"/>
  <c r="I16" i="3"/>
  <c r="I17" i="3"/>
  <c r="J9" i="3"/>
  <c r="J10" i="3"/>
  <c r="J11" i="3"/>
  <c r="I10" i="3"/>
  <c r="I11" i="3"/>
  <c r="I15" i="3"/>
  <c r="I9" i="3"/>
  <c r="G17" i="3"/>
  <c r="F17" i="3"/>
  <c r="L17" i="3" s="1"/>
  <c r="G16" i="3"/>
  <c r="F16" i="3"/>
  <c r="L16" i="3" s="1"/>
  <c r="G15" i="3"/>
  <c r="J15" i="3" s="1"/>
  <c r="F15" i="3"/>
  <c r="L15" i="3" s="1"/>
  <c r="G11" i="3"/>
  <c r="M11" i="3" s="1"/>
  <c r="F11" i="3"/>
  <c r="L11" i="3" s="1"/>
  <c r="G10" i="3"/>
  <c r="M10" i="3" s="1"/>
  <c r="F10" i="3"/>
  <c r="L10" i="3" s="1"/>
  <c r="G9" i="3"/>
  <c r="M9" i="3" s="1"/>
  <c r="F9" i="3"/>
  <c r="G5" i="3"/>
  <c r="F5" i="3"/>
  <c r="G4" i="3"/>
  <c r="F4" i="3"/>
  <c r="G3" i="3"/>
  <c r="F3" i="3"/>
  <c r="P33" i="2"/>
  <c r="P34" i="2"/>
  <c r="P35" i="2"/>
  <c r="O34" i="2"/>
  <c r="O35" i="2"/>
  <c r="O33" i="2"/>
  <c r="P27" i="2"/>
  <c r="P28" i="2"/>
  <c r="P29" i="2"/>
  <c r="O28" i="2"/>
  <c r="O29" i="2"/>
  <c r="O27" i="2"/>
  <c r="P21" i="2"/>
  <c r="P22" i="2"/>
  <c r="P23" i="2"/>
  <c r="O22" i="2"/>
  <c r="O23" i="2"/>
  <c r="O21" i="2"/>
  <c r="P15" i="2"/>
  <c r="P16" i="2"/>
  <c r="P17" i="2"/>
  <c r="O16" i="2"/>
  <c r="O17" i="2"/>
  <c r="O15" i="2"/>
  <c r="P9" i="2"/>
  <c r="P10" i="2"/>
  <c r="P11" i="2"/>
  <c r="O10" i="2"/>
  <c r="O11" i="2"/>
  <c r="O9" i="2"/>
  <c r="P3" i="2"/>
  <c r="P4" i="2"/>
  <c r="P5" i="2"/>
  <c r="O4" i="2"/>
  <c r="O5" i="2"/>
  <c r="O3" i="2"/>
  <c r="J33" i="2"/>
  <c r="J34" i="2"/>
  <c r="J35" i="2"/>
  <c r="I34" i="2"/>
  <c r="I35" i="2"/>
  <c r="J27" i="2"/>
  <c r="J28" i="2"/>
  <c r="J29" i="2"/>
  <c r="I28" i="2"/>
  <c r="I29" i="2"/>
  <c r="J21" i="2"/>
  <c r="J22" i="2"/>
  <c r="J23" i="2"/>
  <c r="I22" i="2"/>
  <c r="I23" i="2"/>
  <c r="J15" i="2"/>
  <c r="J16" i="2"/>
  <c r="J17" i="2"/>
  <c r="I16" i="2"/>
  <c r="I17" i="2"/>
  <c r="J9" i="2"/>
  <c r="J10" i="2"/>
  <c r="J11" i="2"/>
  <c r="I10" i="2"/>
  <c r="I11" i="2"/>
  <c r="J3" i="2"/>
  <c r="J4" i="2"/>
  <c r="J5" i="2"/>
  <c r="I4" i="2"/>
  <c r="I5" i="2"/>
  <c r="I33" i="2"/>
  <c r="I27" i="2"/>
  <c r="I21" i="2"/>
  <c r="I15" i="2"/>
  <c r="I9" i="2"/>
  <c r="I3" i="2"/>
  <c r="G35" i="2"/>
  <c r="F35" i="2"/>
  <c r="L35" i="2" s="1"/>
  <c r="G34" i="2"/>
  <c r="F34" i="2"/>
  <c r="L34" i="2" s="1"/>
  <c r="G33" i="2"/>
  <c r="F33" i="2"/>
  <c r="G29" i="2"/>
  <c r="M29" i="2" s="1"/>
  <c r="F29" i="2"/>
  <c r="L29" i="2" s="1"/>
  <c r="G28" i="2"/>
  <c r="M28" i="2" s="1"/>
  <c r="F28" i="2"/>
  <c r="L28" i="2" s="1"/>
  <c r="G27" i="2"/>
  <c r="M27" i="2" s="1"/>
  <c r="F27" i="2"/>
  <c r="L27" i="2" s="1"/>
  <c r="G23" i="2"/>
  <c r="M23" i="2" s="1"/>
  <c r="F23" i="2"/>
  <c r="L23" i="2" s="1"/>
  <c r="G22" i="2"/>
  <c r="M22" i="2" s="1"/>
  <c r="F22" i="2"/>
  <c r="L22" i="2" s="1"/>
  <c r="G21" i="2"/>
  <c r="M21" i="2" s="1"/>
  <c r="F21" i="2"/>
  <c r="L21" i="2" s="1"/>
  <c r="G17" i="2"/>
  <c r="F17" i="2"/>
  <c r="L17" i="2" s="1"/>
  <c r="G16" i="2"/>
  <c r="F16" i="2"/>
  <c r="L16" i="2" s="1"/>
  <c r="G15" i="2"/>
  <c r="F15" i="2"/>
  <c r="L15" i="2" s="1"/>
  <c r="G11" i="2"/>
  <c r="M11" i="2" s="1"/>
  <c r="F11" i="2"/>
  <c r="L11" i="2" s="1"/>
  <c r="G10" i="2"/>
  <c r="F10" i="2"/>
  <c r="L10" i="2" s="1"/>
  <c r="G9" i="2"/>
  <c r="F9" i="2"/>
  <c r="G5" i="2"/>
  <c r="M5" i="2" s="1"/>
  <c r="F5" i="2"/>
  <c r="L5" i="2" s="1"/>
  <c r="G4" i="2"/>
  <c r="M4" i="2" s="1"/>
  <c r="F4" i="2"/>
  <c r="L4" i="2" s="1"/>
  <c r="G3" i="2"/>
  <c r="M3" i="2" s="1"/>
  <c r="F3" i="2"/>
  <c r="P33" i="1"/>
  <c r="P34" i="1"/>
  <c r="P35" i="1"/>
  <c r="O34" i="1"/>
  <c r="O35" i="1"/>
  <c r="O33" i="1"/>
  <c r="P27" i="1"/>
  <c r="P28" i="1"/>
  <c r="P29" i="1"/>
  <c r="O28" i="1"/>
  <c r="O29" i="1"/>
  <c r="O27" i="1"/>
  <c r="P21" i="1"/>
  <c r="P22" i="1"/>
  <c r="P23" i="1"/>
  <c r="O22" i="1"/>
  <c r="O23" i="1"/>
  <c r="O21" i="1"/>
  <c r="P15" i="1"/>
  <c r="P16" i="1"/>
  <c r="P17" i="1"/>
  <c r="O16" i="1"/>
  <c r="O17" i="1"/>
  <c r="O15" i="1"/>
  <c r="P9" i="1"/>
  <c r="P10" i="1"/>
  <c r="P11" i="1"/>
  <c r="O10" i="1"/>
  <c r="O11" i="1"/>
  <c r="O9" i="1"/>
  <c r="P3" i="1"/>
  <c r="P4" i="1"/>
  <c r="P5" i="1"/>
  <c r="O4" i="1"/>
  <c r="O5" i="1"/>
  <c r="M35" i="1"/>
  <c r="L35" i="1"/>
  <c r="M34" i="1"/>
  <c r="L34" i="1"/>
  <c r="M33" i="1"/>
  <c r="L33" i="1"/>
  <c r="M29" i="1"/>
  <c r="L29" i="1"/>
  <c r="M28" i="1"/>
  <c r="L28" i="1"/>
  <c r="M27" i="1"/>
  <c r="L27" i="1"/>
  <c r="M23" i="1"/>
  <c r="L23" i="1"/>
  <c r="M22" i="1"/>
  <c r="L22" i="1"/>
  <c r="M21" i="1"/>
  <c r="L21" i="1"/>
  <c r="M17" i="1"/>
  <c r="L17" i="1"/>
  <c r="M16" i="1"/>
  <c r="L16" i="1"/>
  <c r="M15" i="1"/>
  <c r="L15" i="1"/>
  <c r="M11" i="1"/>
  <c r="L11" i="1"/>
  <c r="M10" i="1"/>
  <c r="L10" i="1"/>
  <c r="M9" i="1"/>
  <c r="L9" i="1"/>
  <c r="M3" i="1"/>
  <c r="M4" i="1"/>
  <c r="M5" i="1"/>
  <c r="L4" i="1"/>
  <c r="L5" i="1"/>
  <c r="J33" i="1"/>
  <c r="J34" i="1"/>
  <c r="J35" i="1"/>
  <c r="I34" i="1"/>
  <c r="I35" i="1"/>
  <c r="J27" i="1"/>
  <c r="J28" i="1"/>
  <c r="J29" i="1"/>
  <c r="I28" i="1"/>
  <c r="I29" i="1"/>
  <c r="J21" i="1"/>
  <c r="J22" i="1"/>
  <c r="J23" i="1"/>
  <c r="I22" i="1"/>
  <c r="I23" i="1"/>
  <c r="J15" i="1"/>
  <c r="J16" i="1"/>
  <c r="J17" i="1"/>
  <c r="I16" i="1"/>
  <c r="I17" i="1"/>
  <c r="J9" i="1"/>
  <c r="J10" i="1"/>
  <c r="J11" i="1"/>
  <c r="I10" i="1"/>
  <c r="I11" i="1"/>
  <c r="J3" i="1"/>
  <c r="J4" i="1"/>
  <c r="J5" i="1"/>
  <c r="I4" i="1"/>
  <c r="I5" i="1"/>
  <c r="I33" i="1"/>
  <c r="I27" i="1"/>
  <c r="I21" i="1"/>
  <c r="I15" i="1"/>
  <c r="I9" i="1"/>
  <c r="G35" i="1"/>
  <c r="F35" i="1"/>
  <c r="G34" i="1"/>
  <c r="F34" i="1"/>
  <c r="G33" i="1"/>
  <c r="G29" i="1"/>
  <c r="F29" i="1"/>
  <c r="G28" i="1"/>
  <c r="F28" i="1"/>
  <c r="G27" i="1"/>
  <c r="F27" i="1"/>
  <c r="G23" i="1"/>
  <c r="F23" i="1"/>
  <c r="G22" i="1"/>
  <c r="F22" i="1"/>
  <c r="G21" i="1"/>
  <c r="F21" i="1"/>
  <c r="G17" i="1"/>
  <c r="F17" i="1"/>
  <c r="G16" i="1"/>
  <c r="F16" i="1"/>
  <c r="G15" i="1"/>
  <c r="F15" i="1"/>
  <c r="G11" i="1"/>
  <c r="F11" i="1"/>
  <c r="G10" i="1"/>
  <c r="F10" i="1"/>
  <c r="G9" i="1"/>
  <c r="F9" i="1"/>
  <c r="F4" i="1"/>
  <c r="G4" i="1"/>
  <c r="F5" i="1"/>
  <c r="G5" i="1"/>
  <c r="G3" i="1"/>
  <c r="J17" i="3" l="1"/>
  <c r="M17" i="3" s="1"/>
  <c r="P17" i="3" s="1"/>
  <c r="M16" i="3"/>
  <c r="P16" i="3" s="1"/>
  <c r="M15" i="3"/>
  <c r="P15" i="3" s="1"/>
  <c r="L5" i="3"/>
  <c r="O5" i="3" s="1"/>
  <c r="L4" i="3"/>
  <c r="O4" i="3" s="1"/>
  <c r="L3" i="3"/>
  <c r="O3" i="3" s="1"/>
  <c r="M5" i="3"/>
  <c r="P5" i="3" s="1"/>
  <c r="M3" i="3"/>
  <c r="P3" i="3" s="1"/>
  <c r="M4" i="3"/>
  <c r="P4" i="3" s="1"/>
  <c r="L9" i="3"/>
  <c r="M33" i="2"/>
  <c r="M34" i="2"/>
  <c r="M35" i="2"/>
  <c r="M15" i="2"/>
  <c r="M16" i="2"/>
  <c r="M17" i="2"/>
  <c r="M10" i="2"/>
  <c r="M9" i="2"/>
  <c r="L33" i="2"/>
  <c r="L9" i="2"/>
  <c r="L3" i="2"/>
</calcChain>
</file>

<file path=xl/sharedStrings.xml><?xml version="1.0" encoding="utf-8"?>
<sst xmlns="http://schemas.openxmlformats.org/spreadsheetml/2006/main" count="225" uniqueCount="12">
  <si>
    <t>EPHB1</t>
    <phoneticPr fontId="1" type="noConversion"/>
  </si>
  <si>
    <t>RWPE-2</t>
    <phoneticPr fontId="1" type="noConversion"/>
  </si>
  <si>
    <t>22RV1</t>
    <phoneticPr fontId="1" type="noConversion"/>
  </si>
  <si>
    <t>DCHS2</t>
    <phoneticPr fontId="1" type="noConversion"/>
  </si>
  <si>
    <t>KIF13A</t>
    <phoneticPr fontId="1" type="noConversion"/>
  </si>
  <si>
    <t>FBN3</t>
    <phoneticPr fontId="1" type="noConversion"/>
  </si>
  <si>
    <t>CDH23</t>
    <phoneticPr fontId="1" type="noConversion"/>
  </si>
  <si>
    <t>CDK12</t>
    <phoneticPr fontId="1" type="noConversion"/>
  </si>
  <si>
    <t>PC-3</t>
    <phoneticPr fontId="1" type="noConversion"/>
  </si>
  <si>
    <t>C4-2</t>
    <phoneticPr fontId="1" type="noConversion"/>
  </si>
  <si>
    <t>DU145</t>
    <phoneticPr fontId="1" type="noConversion"/>
  </si>
  <si>
    <t>C4-2B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</si>
</sst>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selection activeCell="E37" sqref="E37"/>
    </sheetView>
  </sheetViews>
  <sheetFormatPr defaultRowHeight="14" x14ac:dyDescent="0.3"/>
  <sheetData>
    <row r="1" spans="1:16" x14ac:dyDescent="0.3">
      <c r="A1" t="s">
        <v>0</v>
      </c>
      <c r="F1" t="s">
        <v>0</v>
      </c>
      <c r="I1" t="s">
        <v>0</v>
      </c>
      <c r="L1" t="s">
        <v>0</v>
      </c>
      <c r="O1" t="s">
        <v>0</v>
      </c>
    </row>
    <row r="2" spans="1:16" x14ac:dyDescent="0.3">
      <c r="A2" t="s">
        <v>1</v>
      </c>
      <c r="C2" t="s">
        <v>2</v>
      </c>
      <c r="F2" t="s">
        <v>1</v>
      </c>
      <c r="G2" t="s">
        <v>2</v>
      </c>
      <c r="I2" t="s">
        <v>1</v>
      </c>
      <c r="J2" t="s">
        <v>2</v>
      </c>
      <c r="L2" t="s">
        <v>1</v>
      </c>
      <c r="M2" t="s">
        <v>2</v>
      </c>
      <c r="O2" t="s">
        <v>1</v>
      </c>
      <c r="P2" t="s">
        <v>2</v>
      </c>
    </row>
    <row r="3" spans="1:16" x14ac:dyDescent="0.3">
      <c r="A3">
        <v>10.45</v>
      </c>
      <c r="B3">
        <v>17.600000000000001</v>
      </c>
      <c r="C3">
        <v>10.41</v>
      </c>
      <c r="D3">
        <v>11.7</v>
      </c>
      <c r="F3">
        <f>B3-A3</f>
        <v>7.1500000000000021</v>
      </c>
      <c r="G3">
        <f>D3-C3</f>
        <v>1.2899999999999991</v>
      </c>
      <c r="I3">
        <f>F3-7.15</f>
        <v>0</v>
      </c>
      <c r="J3">
        <f>G3-7.15</f>
        <v>-5.8600000000000012</v>
      </c>
      <c r="L3">
        <f>POWER(2,-I3)</f>
        <v>1</v>
      </c>
      <c r="M3">
        <f>POWER(2,-J3)</f>
        <v>58.081225940298317</v>
      </c>
      <c r="O3">
        <f>L3/1.12182235070006</f>
        <v>0.89140673599163167</v>
      </c>
      <c r="P3">
        <f>M3/1.12182235070006</f>
        <v>51.773996037833811</v>
      </c>
    </row>
    <row r="4" spans="1:16" x14ac:dyDescent="0.3">
      <c r="A4">
        <v>10.34</v>
      </c>
      <c r="B4">
        <v>17.78</v>
      </c>
      <c r="C4">
        <v>10.220000000000001</v>
      </c>
      <c r="D4">
        <v>11.05</v>
      </c>
      <c r="F4">
        <f t="shared" ref="F4:F5" si="0">B4-A4</f>
        <v>7.4400000000000013</v>
      </c>
      <c r="G4">
        <f t="shared" ref="G4:G5" si="1">D4-C4</f>
        <v>0.83000000000000007</v>
      </c>
      <c r="I4">
        <f t="shared" ref="I4:J5" si="2">F4-7.15</f>
        <v>0.29000000000000092</v>
      </c>
      <c r="J4">
        <f t="shared" si="2"/>
        <v>-6.32</v>
      </c>
      <c r="L4">
        <f t="shared" ref="L4:M5" si="3">POWER(2,-I4)</f>
        <v>0.81790205855778064</v>
      </c>
      <c r="M4">
        <f t="shared" si="3"/>
        <v>79.893155129703175</v>
      </c>
      <c r="O4">
        <f t="shared" ref="O4:P5" si="4">L4/1.12182235070006</f>
        <v>0.72908340437982766</v>
      </c>
      <c r="P4">
        <f t="shared" si="4"/>
        <v>71.217296642241791</v>
      </c>
    </row>
    <row r="5" spans="1:16" x14ac:dyDescent="0.3">
      <c r="A5">
        <v>10.52</v>
      </c>
      <c r="B5">
        <v>17.04</v>
      </c>
      <c r="C5">
        <v>10.45</v>
      </c>
      <c r="D5">
        <v>11.56</v>
      </c>
      <c r="F5">
        <f t="shared" si="0"/>
        <v>6.52</v>
      </c>
      <c r="G5">
        <f t="shared" si="1"/>
        <v>1.1100000000000012</v>
      </c>
      <c r="I5">
        <f t="shared" si="2"/>
        <v>-0.63000000000000078</v>
      </c>
      <c r="J5">
        <f t="shared" si="2"/>
        <v>-6.0399999999999991</v>
      </c>
      <c r="L5">
        <f t="shared" si="3"/>
        <v>1.5475649935423907</v>
      </c>
      <c r="M5">
        <f t="shared" si="3"/>
        <v>65.799284905988188</v>
      </c>
      <c r="O5">
        <f t="shared" si="4"/>
        <v>1.3795098596285331</v>
      </c>
      <c r="P5">
        <f t="shared" si="4"/>
        <v>58.653925788630367</v>
      </c>
    </row>
    <row r="7" spans="1:16" x14ac:dyDescent="0.3">
      <c r="A7" t="s">
        <v>3</v>
      </c>
      <c r="F7" t="s">
        <v>3</v>
      </c>
      <c r="I7" t="s">
        <v>3</v>
      </c>
      <c r="L7" t="s">
        <v>3</v>
      </c>
      <c r="O7" t="s">
        <v>3</v>
      </c>
    </row>
    <row r="8" spans="1:16" x14ac:dyDescent="0.3">
      <c r="A8" t="s">
        <v>1</v>
      </c>
      <c r="C8" t="s">
        <v>2</v>
      </c>
      <c r="F8" t="s">
        <v>1</v>
      </c>
      <c r="G8" t="s">
        <v>2</v>
      </c>
      <c r="I8" t="s">
        <v>1</v>
      </c>
      <c r="J8" t="s">
        <v>2</v>
      </c>
      <c r="L8" t="s">
        <v>1</v>
      </c>
      <c r="M8" t="s">
        <v>2</v>
      </c>
      <c r="O8" t="s">
        <v>1</v>
      </c>
      <c r="P8" t="s">
        <v>2</v>
      </c>
    </row>
    <row r="9" spans="1:16" x14ac:dyDescent="0.3">
      <c r="A9">
        <v>10.45</v>
      </c>
      <c r="B9">
        <v>13.84</v>
      </c>
      <c r="C9">
        <v>10.41</v>
      </c>
      <c r="D9">
        <v>10.23</v>
      </c>
      <c r="F9">
        <f>B9-A9</f>
        <v>3.3900000000000006</v>
      </c>
      <c r="G9">
        <f>D9-C9</f>
        <v>-0.17999999999999972</v>
      </c>
      <c r="I9">
        <f>F9-3.39</f>
        <v>0</v>
      </c>
      <c r="J9">
        <f>G9-3.39</f>
        <v>-3.57</v>
      </c>
      <c r="L9">
        <f>POWER(2,-I9)</f>
        <v>1</v>
      </c>
      <c r="M9">
        <f>POWER(2,-J9)</f>
        <v>11.876188565032393</v>
      </c>
      <c r="O9">
        <f>L9/1.9140945344663</f>
        <v>0.52244023583653687</v>
      </c>
      <c r="P9">
        <f>M9/1.9140945344663</f>
        <v>6.2045987547547057</v>
      </c>
    </row>
    <row r="10" spans="1:16" x14ac:dyDescent="0.3">
      <c r="A10">
        <v>10.34</v>
      </c>
      <c r="B10">
        <v>13.13</v>
      </c>
      <c r="C10">
        <v>10.220000000000001</v>
      </c>
      <c r="D10">
        <v>10.64</v>
      </c>
      <c r="F10">
        <f t="shared" ref="F10:F11" si="5">B10-A10</f>
        <v>2.7900000000000009</v>
      </c>
      <c r="G10">
        <f t="shared" ref="G10:G11" si="6">D10-C10</f>
        <v>0.41999999999999993</v>
      </c>
      <c r="I10">
        <f t="shared" ref="I10:J11" si="7">F10-3.39</f>
        <v>-0.5999999999999992</v>
      </c>
      <c r="J10">
        <f t="shared" si="7"/>
        <v>-2.97</v>
      </c>
      <c r="L10">
        <f t="shared" ref="L10:L11" si="8">POWER(2,-I10)</f>
        <v>1.5157165665103973</v>
      </c>
      <c r="M10">
        <f t="shared" ref="M10:M11" si="9">POWER(2,-J10)</f>
        <v>7.8353623806954138</v>
      </c>
      <c r="O10">
        <f t="shared" ref="O10:P11" si="10">L10/1.9140945344663</f>
        <v>0.79187132046903785</v>
      </c>
      <c r="P10">
        <f t="shared" si="10"/>
        <v>4.0935085700352412</v>
      </c>
    </row>
    <row r="11" spans="1:16" x14ac:dyDescent="0.3">
      <c r="A11">
        <v>10.52</v>
      </c>
      <c r="B11">
        <v>12.22</v>
      </c>
      <c r="C11">
        <v>10.45</v>
      </c>
      <c r="D11">
        <v>11.45</v>
      </c>
      <c r="F11">
        <f t="shared" si="5"/>
        <v>1.7000000000000011</v>
      </c>
      <c r="G11">
        <f t="shared" si="6"/>
        <v>1</v>
      </c>
      <c r="I11">
        <f t="shared" si="7"/>
        <v>-1.6899999999999991</v>
      </c>
      <c r="J11">
        <f t="shared" si="7"/>
        <v>-2.39</v>
      </c>
      <c r="L11">
        <f t="shared" si="8"/>
        <v>3.2265670368885027</v>
      </c>
      <c r="M11">
        <f t="shared" si="9"/>
        <v>5.2415736154334525</v>
      </c>
      <c r="O11">
        <f t="shared" si="10"/>
        <v>1.6856884436944253</v>
      </c>
      <c r="P11">
        <f t="shared" si="10"/>
        <v>2.738408955801622</v>
      </c>
    </row>
    <row r="13" spans="1:16" x14ac:dyDescent="0.3">
      <c r="A13" t="s">
        <v>4</v>
      </c>
      <c r="F13" t="s">
        <v>4</v>
      </c>
      <c r="I13" t="s">
        <v>4</v>
      </c>
      <c r="L13" t="s">
        <v>4</v>
      </c>
      <c r="O13" t="s">
        <v>4</v>
      </c>
    </row>
    <row r="14" spans="1:16" x14ac:dyDescent="0.3">
      <c r="A14" t="s">
        <v>1</v>
      </c>
      <c r="C14" t="s">
        <v>2</v>
      </c>
      <c r="F14" t="s">
        <v>1</v>
      </c>
      <c r="G14" t="s">
        <v>2</v>
      </c>
      <c r="I14" t="s">
        <v>1</v>
      </c>
      <c r="J14" t="s">
        <v>2</v>
      </c>
      <c r="L14" t="s">
        <v>1</v>
      </c>
      <c r="M14" t="s">
        <v>2</v>
      </c>
      <c r="O14" t="s">
        <v>1</v>
      </c>
      <c r="P14" t="s">
        <v>2</v>
      </c>
    </row>
    <row r="15" spans="1:16" x14ac:dyDescent="0.3">
      <c r="A15">
        <v>10.45</v>
      </c>
      <c r="B15">
        <v>15.62</v>
      </c>
      <c r="C15">
        <v>10.41</v>
      </c>
      <c r="D15">
        <v>13.32</v>
      </c>
      <c r="F15">
        <f>B15-A15</f>
        <v>5.17</v>
      </c>
      <c r="G15">
        <f>D15-C15</f>
        <v>2.91</v>
      </c>
      <c r="I15">
        <f>F15-5.17</f>
        <v>0</v>
      </c>
      <c r="J15">
        <f>G15-5.17</f>
        <v>-2.2599999999999998</v>
      </c>
      <c r="L15">
        <f>POWER(2,-I15)</f>
        <v>1</v>
      </c>
      <c r="M15">
        <f>POWER(2,-J15)</f>
        <v>4.7899148184757134</v>
      </c>
      <c r="O15">
        <f>L15/1.16844797447448</f>
        <v>0.85583613634980971</v>
      </c>
      <c r="P15">
        <f>M15/1.16844797447448</f>
        <v>4.0993821916889548</v>
      </c>
    </row>
    <row r="16" spans="1:16" x14ac:dyDescent="0.3">
      <c r="A16">
        <v>10.34</v>
      </c>
      <c r="B16">
        <v>15.19</v>
      </c>
      <c r="C16">
        <v>10.220000000000001</v>
      </c>
      <c r="D16">
        <v>13.51</v>
      </c>
      <c r="F16">
        <f t="shared" ref="F16:F17" si="11">B16-A16</f>
        <v>4.8499999999999996</v>
      </c>
      <c r="G16">
        <f t="shared" ref="G16:G17" si="12">D16-C16</f>
        <v>3.2899999999999991</v>
      </c>
      <c r="I16">
        <f t="shared" ref="I16:J17" si="13">F16-5.17</f>
        <v>-0.32000000000000028</v>
      </c>
      <c r="J16">
        <f t="shared" si="13"/>
        <v>-1.8800000000000008</v>
      </c>
      <c r="L16">
        <f t="shared" ref="L16:L17" si="14">POWER(2,-I16)</f>
        <v>1.2483305489016121</v>
      </c>
      <c r="M16">
        <f t="shared" ref="M16:M17" si="15">POWER(2,-J16)</f>
        <v>3.680750602499502</v>
      </c>
      <c r="O16">
        <f t="shared" ref="O16:P17" si="16">L16/1.16844797447448</f>
        <v>1.0683663938593928</v>
      </c>
      <c r="P16">
        <f t="shared" si="16"/>
        <v>3.1501193745104077</v>
      </c>
    </row>
    <row r="17" spans="1:16" x14ac:dyDescent="0.3">
      <c r="A17">
        <v>10.52</v>
      </c>
      <c r="B17">
        <v>15.36</v>
      </c>
      <c r="C17">
        <v>10.45</v>
      </c>
      <c r="D17">
        <v>14.45</v>
      </c>
      <c r="F17">
        <f t="shared" si="11"/>
        <v>4.84</v>
      </c>
      <c r="G17">
        <f t="shared" si="12"/>
        <v>4</v>
      </c>
      <c r="I17">
        <f t="shared" si="13"/>
        <v>-0.33000000000000007</v>
      </c>
      <c r="J17">
        <f t="shared" si="13"/>
        <v>-1.17</v>
      </c>
      <c r="L17">
        <f t="shared" si="14"/>
        <v>1.2570133745218284</v>
      </c>
      <c r="M17">
        <f t="shared" si="15"/>
        <v>2.2501169693776188</v>
      </c>
      <c r="O17">
        <f t="shared" si="16"/>
        <v>1.0757974697907979</v>
      </c>
      <c r="P17">
        <f t="shared" si="16"/>
        <v>1.9257314134072843</v>
      </c>
    </row>
    <row r="19" spans="1:16" x14ac:dyDescent="0.3">
      <c r="A19" t="s">
        <v>5</v>
      </c>
      <c r="F19" t="s">
        <v>5</v>
      </c>
      <c r="I19" t="s">
        <v>5</v>
      </c>
      <c r="L19" t="s">
        <v>5</v>
      </c>
      <c r="O19" t="s">
        <v>5</v>
      </c>
    </row>
    <row r="20" spans="1:16" x14ac:dyDescent="0.3">
      <c r="A20" t="s">
        <v>1</v>
      </c>
      <c r="C20" t="s">
        <v>2</v>
      </c>
      <c r="F20" t="s">
        <v>1</v>
      </c>
      <c r="G20" t="s">
        <v>2</v>
      </c>
      <c r="I20" t="s">
        <v>1</v>
      </c>
      <c r="J20" t="s">
        <v>2</v>
      </c>
      <c r="L20" t="s">
        <v>1</v>
      </c>
      <c r="M20" t="s">
        <v>2</v>
      </c>
      <c r="O20" t="s">
        <v>1</v>
      </c>
      <c r="P20" t="s">
        <v>2</v>
      </c>
    </row>
    <row r="21" spans="1:16" x14ac:dyDescent="0.3">
      <c r="A21">
        <v>10.45</v>
      </c>
      <c r="B21">
        <v>12.85</v>
      </c>
      <c r="C21">
        <v>10.41</v>
      </c>
      <c r="D21">
        <v>13.39</v>
      </c>
      <c r="F21">
        <f>B21-A21</f>
        <v>2.4000000000000004</v>
      </c>
      <c r="G21">
        <f>D21-C21</f>
        <v>2.9800000000000004</v>
      </c>
      <c r="I21">
        <f>F21-2.4</f>
        <v>0</v>
      </c>
      <c r="J21">
        <f>G21-2.4</f>
        <v>0.58000000000000052</v>
      </c>
      <c r="L21">
        <f>POWER(2,-I21)</f>
        <v>1</v>
      </c>
      <c r="M21">
        <f>POWER(2,-J21)</f>
        <v>0.66896377739305579</v>
      </c>
      <c r="O21">
        <f>L21/1.18201422660913</f>
        <v>0.84601350600383363</v>
      </c>
      <c r="P21">
        <f>M21/1.18201422660913</f>
        <v>0.5659523907018672</v>
      </c>
    </row>
    <row r="22" spans="1:16" x14ac:dyDescent="0.3">
      <c r="A22">
        <v>10.34</v>
      </c>
      <c r="B22">
        <v>12.64</v>
      </c>
      <c r="C22">
        <v>10.220000000000001</v>
      </c>
      <c r="D22">
        <v>13.08</v>
      </c>
      <c r="F22">
        <f t="shared" ref="F22:F23" si="17">B22-A22</f>
        <v>2.3000000000000007</v>
      </c>
      <c r="G22">
        <f t="shared" ref="G22:G23" si="18">D22-C22</f>
        <v>2.8599999999999994</v>
      </c>
      <c r="I22">
        <f t="shared" ref="I22:J23" si="19">F22-2.4</f>
        <v>-9.9999999999999201E-2</v>
      </c>
      <c r="J22">
        <f t="shared" si="19"/>
        <v>0.45999999999999952</v>
      </c>
      <c r="L22">
        <f t="shared" ref="L22:L23" si="20">POWER(2,-I22)</f>
        <v>1.0717734625362925</v>
      </c>
      <c r="M22">
        <f t="shared" ref="M22:M23" si="21">POWER(2,-J22)</f>
        <v>0.72698625866015554</v>
      </c>
      <c r="O22">
        <f t="shared" ref="O22:P23" si="22">L22/1.18201422660913</f>
        <v>0.90673482468219724</v>
      </c>
      <c r="P22">
        <f t="shared" si="22"/>
        <v>0.61504019350568806</v>
      </c>
    </row>
    <row r="23" spans="1:16" x14ac:dyDescent="0.3">
      <c r="A23">
        <v>10.52</v>
      </c>
      <c r="B23">
        <v>12.36</v>
      </c>
      <c r="C23">
        <v>10.45</v>
      </c>
      <c r="D23">
        <v>12.39</v>
      </c>
      <c r="F23">
        <f t="shared" si="17"/>
        <v>1.8399999999999999</v>
      </c>
      <c r="G23">
        <f t="shared" si="18"/>
        <v>1.9400000000000013</v>
      </c>
      <c r="I23">
        <f t="shared" si="19"/>
        <v>-0.56000000000000005</v>
      </c>
      <c r="J23">
        <f t="shared" si="19"/>
        <v>-0.45999999999999863</v>
      </c>
      <c r="L23">
        <f t="shared" si="20"/>
        <v>1.4742692172911012</v>
      </c>
      <c r="M23">
        <f t="shared" si="21"/>
        <v>1.3755418181397423</v>
      </c>
      <c r="O23">
        <f t="shared" si="22"/>
        <v>1.2472516693139721</v>
      </c>
      <c r="P23">
        <f t="shared" si="22"/>
        <v>1.1637269562192911</v>
      </c>
    </row>
    <row r="25" spans="1:16" x14ac:dyDescent="0.3">
      <c r="A25" t="s">
        <v>6</v>
      </c>
      <c r="F25" t="s">
        <v>6</v>
      </c>
      <c r="I25" t="s">
        <v>6</v>
      </c>
      <c r="L25" t="s">
        <v>6</v>
      </c>
      <c r="O25" t="s">
        <v>6</v>
      </c>
    </row>
    <row r="26" spans="1:16" x14ac:dyDescent="0.3">
      <c r="A26" t="s">
        <v>1</v>
      </c>
      <c r="C26" t="s">
        <v>2</v>
      </c>
      <c r="F26" t="s">
        <v>1</v>
      </c>
      <c r="G26" t="s">
        <v>2</v>
      </c>
      <c r="I26" t="s">
        <v>1</v>
      </c>
      <c r="J26" t="s">
        <v>2</v>
      </c>
      <c r="L26" t="s">
        <v>1</v>
      </c>
      <c r="M26" t="s">
        <v>2</v>
      </c>
      <c r="O26" t="s">
        <v>1</v>
      </c>
      <c r="P26" t="s">
        <v>2</v>
      </c>
    </row>
    <row r="27" spans="1:16" x14ac:dyDescent="0.3">
      <c r="A27">
        <v>10.45</v>
      </c>
      <c r="B27">
        <v>14.7</v>
      </c>
      <c r="C27">
        <v>10.41</v>
      </c>
      <c r="D27">
        <v>14.32</v>
      </c>
      <c r="F27">
        <f>B27-A27</f>
        <v>4.25</v>
      </c>
      <c r="G27">
        <f>D27-C27</f>
        <v>3.91</v>
      </c>
      <c r="I27">
        <f>F27-4.25</f>
        <v>0</v>
      </c>
      <c r="J27">
        <f>G27-4.25</f>
        <v>-0.33999999999999986</v>
      </c>
      <c r="L27">
        <f>POWER(2,-I27)</f>
        <v>1</v>
      </c>
      <c r="M27">
        <f>POWER(2,-J27)</f>
        <v>1.2657565939702797</v>
      </c>
      <c r="O27">
        <f>L27/1.23254648664533</f>
        <v>0.8113284252034495</v>
      </c>
      <c r="P27">
        <f>M27/1.23254648664533</f>
        <v>1.0269443040767889</v>
      </c>
    </row>
    <row r="28" spans="1:16" x14ac:dyDescent="0.3">
      <c r="A28">
        <v>10.34</v>
      </c>
      <c r="B28">
        <v>14.09</v>
      </c>
      <c r="C28">
        <v>10.220000000000001</v>
      </c>
      <c r="D28">
        <v>15.55</v>
      </c>
      <c r="F28">
        <f t="shared" ref="F28:F29" si="23">B28-A28</f>
        <v>3.75</v>
      </c>
      <c r="G28">
        <f t="shared" ref="G28:G29" si="24">D28-C28</f>
        <v>5.33</v>
      </c>
      <c r="I28">
        <f t="shared" ref="I28:J29" si="25">F28-4.25</f>
        <v>-0.5</v>
      </c>
      <c r="J28">
        <f t="shared" si="25"/>
        <v>1.08</v>
      </c>
      <c r="L28">
        <f t="shared" ref="L28:L29" si="26">POWER(2,-I28)</f>
        <v>1.4142135623730951</v>
      </c>
      <c r="M28">
        <f t="shared" ref="M28:M29" si="27">POWER(2,-J28)</f>
        <v>0.47302882336279789</v>
      </c>
      <c r="O28">
        <f t="shared" ref="O28:P29" si="28">L28/1.23254648664533</f>
        <v>1.1473916624615235</v>
      </c>
      <c r="P28">
        <f t="shared" si="28"/>
        <v>0.38378173033477947</v>
      </c>
    </row>
    <row r="29" spans="1:16" x14ac:dyDescent="0.3">
      <c r="A29">
        <v>10.52</v>
      </c>
      <c r="B29">
        <v>14.41</v>
      </c>
      <c r="C29">
        <v>10.45</v>
      </c>
      <c r="D29">
        <v>14.3</v>
      </c>
      <c r="F29">
        <f t="shared" si="23"/>
        <v>3.8900000000000006</v>
      </c>
      <c r="G29">
        <f t="shared" si="24"/>
        <v>3.8500000000000014</v>
      </c>
      <c r="I29">
        <f t="shared" si="25"/>
        <v>-0.35999999999999943</v>
      </c>
      <c r="J29">
        <f t="shared" si="25"/>
        <v>-0.39999999999999858</v>
      </c>
      <c r="L29">
        <f t="shared" si="26"/>
        <v>1.2834258975629036</v>
      </c>
      <c r="M29">
        <f t="shared" si="27"/>
        <v>1.3195079107728929</v>
      </c>
      <c r="O29">
        <f t="shared" si="28"/>
        <v>1.0412799123350343</v>
      </c>
      <c r="P29">
        <f t="shared" si="28"/>
        <v>1.0705542752908648</v>
      </c>
    </row>
    <row r="31" spans="1:16" x14ac:dyDescent="0.3">
      <c r="A31" t="s">
        <v>7</v>
      </c>
      <c r="F31" t="s">
        <v>7</v>
      </c>
      <c r="I31" t="s">
        <v>7</v>
      </c>
      <c r="L31" t="s">
        <v>7</v>
      </c>
      <c r="O31" t="s">
        <v>7</v>
      </c>
    </row>
    <row r="32" spans="1:16" x14ac:dyDescent="0.3">
      <c r="A32" t="s">
        <v>1</v>
      </c>
      <c r="C32" t="s">
        <v>2</v>
      </c>
      <c r="F32" t="s">
        <v>1</v>
      </c>
      <c r="G32" t="s">
        <v>2</v>
      </c>
      <c r="I32" t="s">
        <v>1</v>
      </c>
      <c r="J32" t="s">
        <v>2</v>
      </c>
      <c r="L32" t="s">
        <v>1</v>
      </c>
      <c r="M32" t="s">
        <v>2</v>
      </c>
      <c r="O32" t="s">
        <v>1</v>
      </c>
      <c r="P32" t="s">
        <v>2</v>
      </c>
    </row>
    <row r="33" spans="1:16" x14ac:dyDescent="0.3">
      <c r="A33">
        <v>10.45</v>
      </c>
      <c r="B33">
        <v>17.61</v>
      </c>
      <c r="C33">
        <v>10.41</v>
      </c>
      <c r="D33">
        <v>16.2</v>
      </c>
      <c r="F33">
        <f>B33-A33</f>
        <v>7.16</v>
      </c>
      <c r="G33">
        <f>D33-C33</f>
        <v>5.7899999999999991</v>
      </c>
      <c r="I33">
        <f>F33-7.16</f>
        <v>0</v>
      </c>
      <c r="J33">
        <f>G33-7.16</f>
        <v>-1.370000000000001</v>
      </c>
      <c r="L33">
        <f>POWER(2,-I33)</f>
        <v>1</v>
      </c>
      <c r="M33">
        <f>POWER(2,-J33)</f>
        <v>2.5847056612749864</v>
      </c>
      <c r="O33">
        <f>L33/1.17429705874029</f>
        <v>0.85157328169818924</v>
      </c>
      <c r="P33">
        <f>M33/1.17429705874029</f>
        <v>2.2010662821958284</v>
      </c>
    </row>
    <row r="34" spans="1:16" x14ac:dyDescent="0.3">
      <c r="A34">
        <v>10.34</v>
      </c>
      <c r="B34">
        <v>17.149999999999999</v>
      </c>
      <c r="C34">
        <v>10.220000000000001</v>
      </c>
      <c r="D34">
        <v>17.63</v>
      </c>
      <c r="F34">
        <f t="shared" ref="F34:F35" si="29">B34-A34</f>
        <v>6.8099999999999987</v>
      </c>
      <c r="G34">
        <f t="shared" ref="G34:G35" si="30">D34-C34</f>
        <v>7.4099999999999984</v>
      </c>
      <c r="I34">
        <f t="shared" ref="I34:J35" si="31">F34-7.16</f>
        <v>-0.35000000000000142</v>
      </c>
      <c r="J34">
        <f t="shared" si="31"/>
        <v>0.24999999999999822</v>
      </c>
      <c r="L34">
        <f t="shared" ref="L34:L35" si="32">POWER(2,-I34)</f>
        <v>1.2745606273192633</v>
      </c>
      <c r="M34">
        <f t="shared" ref="M34:M35" si="33">POWER(2,-J34)</f>
        <v>0.8408964152537155</v>
      </c>
      <c r="O34">
        <f t="shared" ref="O34:P35" si="34">L34/1.17429705874029</f>
        <v>1.0853817761295679</v>
      </c>
      <c r="P34">
        <f t="shared" si="34"/>
        <v>0.71608491990584977</v>
      </c>
    </row>
    <row r="35" spans="1:16" x14ac:dyDescent="0.3">
      <c r="A35">
        <v>10.52</v>
      </c>
      <c r="B35">
        <v>17.36</v>
      </c>
      <c r="C35">
        <v>10.45</v>
      </c>
      <c r="D35">
        <v>17.07</v>
      </c>
      <c r="F35">
        <f t="shared" si="29"/>
        <v>6.84</v>
      </c>
      <c r="G35">
        <f t="shared" si="30"/>
        <v>6.620000000000001</v>
      </c>
      <c r="I35">
        <f t="shared" si="31"/>
        <v>-0.32000000000000028</v>
      </c>
      <c r="J35">
        <f t="shared" si="31"/>
        <v>-0.53999999999999915</v>
      </c>
      <c r="L35">
        <f t="shared" si="32"/>
        <v>1.2483305489016121</v>
      </c>
      <c r="M35">
        <f t="shared" si="33"/>
        <v>1.4539725173203097</v>
      </c>
      <c r="O35">
        <f t="shared" si="34"/>
        <v>1.0630449421722479</v>
      </c>
      <c r="P35">
        <f t="shared" si="34"/>
        <v>1.2381641480734336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0CBB-681F-470C-A17A-2EF8D1517F46}">
  <dimension ref="A1:P35"/>
  <sheetViews>
    <sheetView workbookViewId="0">
      <selection activeCell="J37" sqref="J37"/>
    </sheetView>
  </sheetViews>
  <sheetFormatPr defaultRowHeight="14" x14ac:dyDescent="0.3"/>
  <sheetData>
    <row r="1" spans="1:16" x14ac:dyDescent="0.3">
      <c r="A1" t="s">
        <v>0</v>
      </c>
      <c r="F1" t="s">
        <v>0</v>
      </c>
      <c r="I1" t="s">
        <v>0</v>
      </c>
      <c r="L1" t="s">
        <v>0</v>
      </c>
      <c r="O1" t="s">
        <v>0</v>
      </c>
    </row>
    <row r="2" spans="1:16" x14ac:dyDescent="0.3">
      <c r="A2" t="s">
        <v>1</v>
      </c>
      <c r="C2" t="s">
        <v>8</v>
      </c>
      <c r="F2" t="s">
        <v>1</v>
      </c>
      <c r="G2" t="s">
        <v>8</v>
      </c>
      <c r="I2" t="s">
        <v>1</v>
      </c>
      <c r="J2" t="s">
        <v>8</v>
      </c>
      <c r="L2" t="s">
        <v>1</v>
      </c>
      <c r="M2" t="s">
        <v>8</v>
      </c>
      <c r="O2" t="s">
        <v>1</v>
      </c>
      <c r="P2" t="s">
        <v>8</v>
      </c>
    </row>
    <row r="3" spans="1:16" x14ac:dyDescent="0.3">
      <c r="A3">
        <v>11.34</v>
      </c>
      <c r="B3">
        <v>17.61</v>
      </c>
      <c r="C3">
        <v>11.2</v>
      </c>
      <c r="D3">
        <v>12.03</v>
      </c>
      <c r="F3">
        <f>B3-A3</f>
        <v>6.27</v>
      </c>
      <c r="G3">
        <f>D3-C3</f>
        <v>0.83000000000000007</v>
      </c>
      <c r="I3">
        <f>F3-6.27</f>
        <v>0</v>
      </c>
      <c r="J3">
        <f>G3-6.27</f>
        <v>-5.4399999999999995</v>
      </c>
      <c r="L3">
        <f>POWER(2,-I3)</f>
        <v>1</v>
      </c>
      <c r="M3">
        <f>POWER(2,-J3)</f>
        <v>43.411338478325469</v>
      </c>
      <c r="O3">
        <f>L3/0.955299814062186</f>
        <v>1.0467917875412716</v>
      </c>
      <c r="P3">
        <f>M3/0.955299814062186</f>
        <v>45.442632605285496</v>
      </c>
    </row>
    <row r="4" spans="1:16" x14ac:dyDescent="0.3">
      <c r="A4">
        <v>11.3</v>
      </c>
      <c r="B4">
        <v>17.93</v>
      </c>
      <c r="C4">
        <v>11.43</v>
      </c>
      <c r="D4">
        <v>12.97</v>
      </c>
      <c r="F4">
        <f t="shared" ref="F4:F5" si="0">B4-A4</f>
        <v>6.629999999999999</v>
      </c>
      <c r="G4">
        <f t="shared" ref="G4:G5" si="1">D4-C4</f>
        <v>1.5400000000000009</v>
      </c>
      <c r="I4">
        <f t="shared" ref="I4:J5" si="2">F4-6.27</f>
        <v>0.35999999999999943</v>
      </c>
      <c r="J4">
        <f t="shared" si="2"/>
        <v>-4.7299999999999986</v>
      </c>
      <c r="L4">
        <f t="shared" ref="L4:M5" si="3">POWER(2,-I4)</f>
        <v>0.77916457966050023</v>
      </c>
      <c r="M4">
        <f t="shared" si="3"/>
        <v>26.538225466062109</v>
      </c>
      <c r="O4">
        <f t="shared" ref="O4:P5" si="4">L4/0.955299814062186</f>
        <v>0.81562308313165854</v>
      </c>
      <c r="P4">
        <f t="shared" si="4"/>
        <v>27.779996473792448</v>
      </c>
    </row>
    <row r="5" spans="1:16" x14ac:dyDescent="0.3">
      <c r="A5">
        <v>11.21</v>
      </c>
      <c r="B5">
        <v>17.36</v>
      </c>
      <c r="C5">
        <v>11.26</v>
      </c>
      <c r="D5">
        <v>12.13</v>
      </c>
      <c r="F5">
        <f t="shared" si="0"/>
        <v>6.1499999999999986</v>
      </c>
      <c r="G5">
        <f t="shared" si="1"/>
        <v>0.87000000000000099</v>
      </c>
      <c r="I5">
        <f t="shared" si="2"/>
        <v>-0.12000000000000099</v>
      </c>
      <c r="J5">
        <f t="shared" si="2"/>
        <v>-5.3999999999999986</v>
      </c>
      <c r="L5">
        <f t="shared" si="3"/>
        <v>1.0867348625260589</v>
      </c>
      <c r="M5">
        <f t="shared" si="3"/>
        <v>42.224253144732565</v>
      </c>
      <c r="O5">
        <f t="shared" si="4"/>
        <v>1.1375851293270711</v>
      </c>
      <c r="P5">
        <f t="shared" si="4"/>
        <v>44.200001426969756</v>
      </c>
    </row>
    <row r="7" spans="1:16" x14ac:dyDescent="0.3">
      <c r="A7" t="s">
        <v>3</v>
      </c>
      <c r="F7" t="s">
        <v>3</v>
      </c>
      <c r="I7" t="s">
        <v>3</v>
      </c>
      <c r="L7" t="s">
        <v>3</v>
      </c>
      <c r="O7" t="s">
        <v>3</v>
      </c>
    </row>
    <row r="8" spans="1:16" x14ac:dyDescent="0.3">
      <c r="A8" t="s">
        <v>1</v>
      </c>
      <c r="C8" t="s">
        <v>8</v>
      </c>
      <c r="F8" t="s">
        <v>1</v>
      </c>
      <c r="G8" t="s">
        <v>8</v>
      </c>
      <c r="I8" t="s">
        <v>1</v>
      </c>
      <c r="J8" t="s">
        <v>8</v>
      </c>
      <c r="L8" t="s">
        <v>1</v>
      </c>
      <c r="M8" t="s">
        <v>8</v>
      </c>
      <c r="O8" t="s">
        <v>1</v>
      </c>
      <c r="P8" t="s">
        <v>8</v>
      </c>
    </row>
    <row r="9" spans="1:16" x14ac:dyDescent="0.3">
      <c r="A9">
        <v>11.34</v>
      </c>
      <c r="B9">
        <v>14.34</v>
      </c>
      <c r="C9">
        <v>11.2</v>
      </c>
      <c r="D9">
        <v>14.49</v>
      </c>
      <c r="F9">
        <f>B9-A9</f>
        <v>3</v>
      </c>
      <c r="G9">
        <f>D9-C9</f>
        <v>3.2900000000000009</v>
      </c>
      <c r="I9">
        <f>F9-3</f>
        <v>0</v>
      </c>
      <c r="J9">
        <f>G9-3</f>
        <v>0.29000000000000092</v>
      </c>
      <c r="L9">
        <f>POWER(2,-I9)</f>
        <v>1</v>
      </c>
      <c r="M9">
        <f>POWER(2,-J9)</f>
        <v>0.81790205855778064</v>
      </c>
      <c r="O9">
        <f>L9/0.869953154634033</f>
        <v>1.1494871817789711</v>
      </c>
      <c r="P9">
        <f>M9/0.869953154634033</f>
        <v>0.94016793226280226</v>
      </c>
    </row>
    <row r="10" spans="1:16" x14ac:dyDescent="0.3">
      <c r="A10">
        <v>11.3</v>
      </c>
      <c r="B10">
        <v>14.29</v>
      </c>
      <c r="C10">
        <v>11.43</v>
      </c>
      <c r="D10">
        <v>14.81</v>
      </c>
      <c r="F10">
        <f t="shared" ref="F10:F11" si="5">B10-A10</f>
        <v>2.9899999999999984</v>
      </c>
      <c r="G10">
        <f t="shared" ref="G10:G11" si="6">D10-C10</f>
        <v>3.3800000000000008</v>
      </c>
      <c r="I10">
        <f t="shared" ref="I10:J11" si="7">F10-3</f>
        <v>-1.0000000000001563E-2</v>
      </c>
      <c r="J10">
        <f t="shared" si="7"/>
        <v>0.38000000000000078</v>
      </c>
      <c r="L10">
        <f t="shared" ref="L10:M11" si="8">POWER(2,-I10)</f>
        <v>1.00695555005672</v>
      </c>
      <c r="M10">
        <f t="shared" si="8"/>
        <v>0.76843759064400574</v>
      </c>
      <c r="O10">
        <f t="shared" ref="O10:P11" si="9">L10/0.869953154634033</f>
        <v>1.1574824974113926</v>
      </c>
      <c r="P10">
        <f t="shared" si="9"/>
        <v>0.88330916044240082</v>
      </c>
    </row>
    <row r="11" spans="1:16" x14ac:dyDescent="0.3">
      <c r="A11">
        <v>11.21</v>
      </c>
      <c r="B11">
        <v>14.94</v>
      </c>
      <c r="C11">
        <v>11.26</v>
      </c>
      <c r="D11">
        <v>14.99</v>
      </c>
      <c r="F11">
        <f t="shared" si="5"/>
        <v>3.7299999999999986</v>
      </c>
      <c r="G11">
        <f t="shared" si="6"/>
        <v>3.7300000000000004</v>
      </c>
      <c r="I11">
        <f t="shared" si="7"/>
        <v>0.72999999999999865</v>
      </c>
      <c r="J11">
        <f t="shared" si="7"/>
        <v>0.73000000000000043</v>
      </c>
      <c r="L11">
        <f t="shared" si="8"/>
        <v>0.60290391384538078</v>
      </c>
      <c r="M11">
        <f t="shared" si="8"/>
        <v>0.60290391384538</v>
      </c>
      <c r="O11">
        <f t="shared" si="9"/>
        <v>0.69303032080963833</v>
      </c>
      <c r="P11">
        <f t="shared" si="9"/>
        <v>0.69303032080963745</v>
      </c>
    </row>
    <row r="13" spans="1:16" x14ac:dyDescent="0.3">
      <c r="A13" t="s">
        <v>4</v>
      </c>
      <c r="F13" t="s">
        <v>4</v>
      </c>
      <c r="I13" t="s">
        <v>4</v>
      </c>
      <c r="L13" t="s">
        <v>4</v>
      </c>
      <c r="O13" t="s">
        <v>4</v>
      </c>
    </row>
    <row r="14" spans="1:16" x14ac:dyDescent="0.3">
      <c r="A14" t="s">
        <v>1</v>
      </c>
      <c r="C14" t="s">
        <v>8</v>
      </c>
      <c r="F14" t="s">
        <v>1</v>
      </c>
      <c r="G14" t="s">
        <v>8</v>
      </c>
      <c r="I14" t="s">
        <v>1</v>
      </c>
      <c r="J14" t="s">
        <v>8</v>
      </c>
      <c r="L14" t="s">
        <v>1</v>
      </c>
      <c r="M14" t="s">
        <v>8</v>
      </c>
      <c r="O14" t="s">
        <v>1</v>
      </c>
      <c r="P14" t="s">
        <v>8</v>
      </c>
    </row>
    <row r="15" spans="1:16" x14ac:dyDescent="0.3">
      <c r="A15">
        <v>11.34</v>
      </c>
      <c r="B15">
        <v>15.51</v>
      </c>
      <c r="C15">
        <v>11.2</v>
      </c>
      <c r="D15">
        <v>13.08</v>
      </c>
      <c r="F15">
        <f>B15-A15</f>
        <v>4.17</v>
      </c>
      <c r="G15">
        <f>D15-C15</f>
        <v>1.8800000000000008</v>
      </c>
      <c r="I15">
        <f>F15-4.17</f>
        <v>0</v>
      </c>
      <c r="J15">
        <f>G15-4.17</f>
        <v>-2.2899999999999991</v>
      </c>
      <c r="L15">
        <f>POWER(2,-I15)</f>
        <v>1</v>
      </c>
      <c r="M15">
        <f>POWER(2,-J15)</f>
        <v>4.89056111076827</v>
      </c>
      <c r="O15">
        <f>L15/1.16279895722078</f>
        <v>0.8599938912829026</v>
      </c>
      <c r="P15">
        <f>M15/1.16279895722078</f>
        <v>4.2058526802064389</v>
      </c>
    </row>
    <row r="16" spans="1:16" x14ac:dyDescent="0.3">
      <c r="A16">
        <v>11.3</v>
      </c>
      <c r="B16">
        <v>15.13</v>
      </c>
      <c r="C16">
        <v>11.43</v>
      </c>
      <c r="D16">
        <v>13.47</v>
      </c>
      <c r="F16">
        <f t="shared" ref="F16:F17" si="10">B16-A16</f>
        <v>3.83</v>
      </c>
      <c r="G16">
        <f t="shared" ref="G16:G17" si="11">D16-C16</f>
        <v>2.0400000000000009</v>
      </c>
      <c r="I16">
        <f t="shared" ref="I16:J17" si="12">F16-4.17</f>
        <v>-0.33999999999999986</v>
      </c>
      <c r="J16">
        <f t="shared" si="12"/>
        <v>-2.129999999999999</v>
      </c>
      <c r="L16">
        <f t="shared" ref="L16:M17" si="13">POWER(2,-I16)</f>
        <v>1.2657565939702797</v>
      </c>
      <c r="M16">
        <f t="shared" si="13"/>
        <v>4.3771748050429551</v>
      </c>
      <c r="O16">
        <f t="shared" ref="O16:P17" si="14">L16/1.16279895722078</f>
        <v>1.0885429386654939</v>
      </c>
      <c r="P16">
        <f t="shared" si="14"/>
        <v>3.7643435934143716</v>
      </c>
    </row>
    <row r="17" spans="1:16" x14ac:dyDescent="0.3">
      <c r="A17">
        <v>11.21</v>
      </c>
      <c r="B17">
        <v>15.09</v>
      </c>
      <c r="C17">
        <v>11.26</v>
      </c>
      <c r="D17">
        <v>13.43</v>
      </c>
      <c r="F17">
        <f t="shared" si="10"/>
        <v>3.879999999999999</v>
      </c>
      <c r="G17">
        <f t="shared" si="11"/>
        <v>2.17</v>
      </c>
      <c r="I17">
        <f t="shared" si="12"/>
        <v>-0.29000000000000092</v>
      </c>
      <c r="J17">
        <f t="shared" si="12"/>
        <v>-2</v>
      </c>
      <c r="L17">
        <f t="shared" si="13"/>
        <v>1.2226402776920693</v>
      </c>
      <c r="M17">
        <f t="shared" si="13"/>
        <v>4</v>
      </c>
      <c r="O17">
        <f t="shared" si="14"/>
        <v>1.0514631700516113</v>
      </c>
      <c r="P17">
        <f t="shared" si="14"/>
        <v>3.4399755651316104</v>
      </c>
    </row>
    <row r="19" spans="1:16" x14ac:dyDescent="0.3">
      <c r="A19" t="s">
        <v>5</v>
      </c>
      <c r="F19" t="s">
        <v>5</v>
      </c>
      <c r="I19" t="s">
        <v>5</v>
      </c>
      <c r="L19" t="s">
        <v>5</v>
      </c>
      <c r="O19" t="s">
        <v>5</v>
      </c>
    </row>
    <row r="20" spans="1:16" x14ac:dyDescent="0.3">
      <c r="A20" t="s">
        <v>1</v>
      </c>
      <c r="C20" t="s">
        <v>8</v>
      </c>
      <c r="F20" t="s">
        <v>1</v>
      </c>
      <c r="G20" t="s">
        <v>8</v>
      </c>
      <c r="I20" t="s">
        <v>1</v>
      </c>
      <c r="J20" t="s">
        <v>8</v>
      </c>
      <c r="L20" t="s">
        <v>1</v>
      </c>
      <c r="M20" t="s">
        <v>8</v>
      </c>
      <c r="O20" t="s">
        <v>1</v>
      </c>
      <c r="P20" t="s">
        <v>8</v>
      </c>
    </row>
    <row r="21" spans="1:16" x14ac:dyDescent="0.3">
      <c r="A21">
        <v>11.34</v>
      </c>
      <c r="B21">
        <v>17.78</v>
      </c>
      <c r="C21">
        <v>11.2</v>
      </c>
      <c r="D21">
        <v>15.78</v>
      </c>
      <c r="F21">
        <f>B21-A21</f>
        <v>6.4400000000000013</v>
      </c>
      <c r="G21">
        <f>D21-C21</f>
        <v>4.58</v>
      </c>
      <c r="I21">
        <f>F21-6.44</f>
        <v>0</v>
      </c>
      <c r="J21">
        <f>G21-6.44</f>
        <v>-1.8600000000000003</v>
      </c>
      <c r="L21">
        <f>POWER(2,-I21)</f>
        <v>1</v>
      </c>
      <c r="M21">
        <f>POWER(2,-J21)</f>
        <v>3.6300766212686444</v>
      </c>
      <c r="O21">
        <f>L21/1.15778183068901</f>
        <v>0.86372058490923798</v>
      </c>
      <c r="P21">
        <f>M21/1.15778183068901</f>
        <v>3.135371902587504</v>
      </c>
    </row>
    <row r="22" spans="1:16" x14ac:dyDescent="0.3">
      <c r="A22">
        <v>11.3</v>
      </c>
      <c r="B22">
        <v>17.5</v>
      </c>
      <c r="C22">
        <v>11.43</v>
      </c>
      <c r="D22">
        <v>16.14</v>
      </c>
      <c r="F22">
        <f t="shared" ref="F22:F23" si="15">B22-A22</f>
        <v>6.1999999999999993</v>
      </c>
      <c r="G22">
        <f t="shared" ref="G22:G23" si="16">D22-C22</f>
        <v>4.7100000000000009</v>
      </c>
      <c r="I22">
        <f t="shared" ref="I22:J23" si="17">F22-6.44</f>
        <v>-0.2400000000000011</v>
      </c>
      <c r="J22">
        <f t="shared" si="17"/>
        <v>-1.7299999999999995</v>
      </c>
      <c r="L22">
        <f t="shared" ref="L22:M23" si="18">POWER(2,-I22)</f>
        <v>1.1809926614295312</v>
      </c>
      <c r="M22">
        <f t="shared" si="18"/>
        <v>3.3172781832577654</v>
      </c>
      <c r="O22">
        <f t="shared" ref="O22:P23" si="19">L22/1.15778183068901</f>
        <v>1.0200476723034324</v>
      </c>
      <c r="P22">
        <f t="shared" si="19"/>
        <v>2.8652014527500516</v>
      </c>
    </row>
    <row r="23" spans="1:16" x14ac:dyDescent="0.3">
      <c r="A23">
        <v>11.21</v>
      </c>
      <c r="B23">
        <v>17.28</v>
      </c>
      <c r="C23">
        <v>11.26</v>
      </c>
      <c r="D23">
        <v>16.72</v>
      </c>
      <c r="F23">
        <f t="shared" si="15"/>
        <v>6.07</v>
      </c>
      <c r="G23">
        <f t="shared" si="16"/>
        <v>5.4599999999999991</v>
      </c>
      <c r="I23">
        <f t="shared" si="17"/>
        <v>-0.37000000000000011</v>
      </c>
      <c r="J23">
        <f t="shared" si="17"/>
        <v>-0.98000000000000131</v>
      </c>
      <c r="L23">
        <f t="shared" si="18"/>
        <v>1.2923528306374923</v>
      </c>
      <c r="M23">
        <f t="shared" si="18"/>
        <v>1.9724654089867202</v>
      </c>
      <c r="O23">
        <f t="shared" si="19"/>
        <v>1.1162317427873243</v>
      </c>
      <c r="P23">
        <f t="shared" si="19"/>
        <v>1.7036589767632493</v>
      </c>
    </row>
    <row r="25" spans="1:16" x14ac:dyDescent="0.3">
      <c r="A25" t="s">
        <v>6</v>
      </c>
      <c r="F25" t="s">
        <v>6</v>
      </c>
      <c r="I25" t="s">
        <v>6</v>
      </c>
      <c r="L25" t="s">
        <v>6</v>
      </c>
      <c r="O25" t="s">
        <v>6</v>
      </c>
    </row>
    <row r="26" spans="1:16" x14ac:dyDescent="0.3">
      <c r="A26" t="s">
        <v>1</v>
      </c>
      <c r="C26" t="s">
        <v>8</v>
      </c>
      <c r="F26" t="s">
        <v>1</v>
      </c>
      <c r="G26" t="s">
        <v>8</v>
      </c>
      <c r="I26" t="s">
        <v>1</v>
      </c>
      <c r="J26" t="s">
        <v>8</v>
      </c>
      <c r="L26" t="s">
        <v>1</v>
      </c>
      <c r="M26" t="s">
        <v>8</v>
      </c>
      <c r="O26" t="s">
        <v>1</v>
      </c>
      <c r="P26" t="s">
        <v>8</v>
      </c>
    </row>
    <row r="27" spans="1:16" x14ac:dyDescent="0.3">
      <c r="A27">
        <v>11.34</v>
      </c>
      <c r="B27">
        <v>22.49</v>
      </c>
      <c r="C27">
        <v>11.2</v>
      </c>
      <c r="D27">
        <v>21.14</v>
      </c>
      <c r="F27">
        <f>B27-A27</f>
        <v>11.149999999999999</v>
      </c>
      <c r="G27">
        <f>D27-C27</f>
        <v>9.9400000000000013</v>
      </c>
      <c r="I27">
        <f>F27-11.15</f>
        <v>0</v>
      </c>
      <c r="J27">
        <f>G27-11.15</f>
        <v>-1.2099999999999991</v>
      </c>
      <c r="L27">
        <f>POWER(2,-I27)</f>
        <v>1</v>
      </c>
      <c r="M27">
        <f>POWER(2,-J27)</f>
        <v>2.3133763678105734</v>
      </c>
      <c r="O27">
        <f>L27/0.989968111415981</f>
        <v>1.0101335472004953</v>
      </c>
      <c r="P27">
        <f>M27/0.989968111415981</f>
        <v>2.3368190764262922</v>
      </c>
    </row>
    <row r="28" spans="1:16" x14ac:dyDescent="0.3">
      <c r="A28">
        <v>11.3</v>
      </c>
      <c r="B28">
        <v>22.38</v>
      </c>
      <c r="C28">
        <v>11.43</v>
      </c>
      <c r="D28">
        <v>21.66</v>
      </c>
      <c r="F28">
        <f t="shared" ref="F28:F29" si="20">B28-A28</f>
        <v>11.079999999999998</v>
      </c>
      <c r="G28">
        <f t="shared" ref="G28:G29" si="21">D28-C28</f>
        <v>10.23</v>
      </c>
      <c r="I28">
        <f t="shared" ref="I28:J29" si="22">F28-11.15</f>
        <v>-7.0000000000002061E-2</v>
      </c>
      <c r="J28">
        <f t="shared" si="22"/>
        <v>-0.91999999999999993</v>
      </c>
      <c r="L28">
        <f t="shared" ref="L28:M29" si="23">POWER(2,-I28)</f>
        <v>1.0497166836230687</v>
      </c>
      <c r="M28">
        <f t="shared" si="23"/>
        <v>1.8921152934511918</v>
      </c>
      <c r="O28">
        <f t="shared" ref="O28:P29" si="24">L28/0.989968111415981</f>
        <v>1.0603540371837104</v>
      </c>
      <c r="P28">
        <f t="shared" si="24"/>
        <v>1.9112891330861586</v>
      </c>
    </row>
    <row r="29" spans="1:16" x14ac:dyDescent="0.3">
      <c r="A29">
        <v>11.21</v>
      </c>
      <c r="B29">
        <v>22.48</v>
      </c>
      <c r="C29">
        <v>11.26</v>
      </c>
      <c r="D29">
        <v>21.26</v>
      </c>
      <c r="F29">
        <f t="shared" si="20"/>
        <v>11.27</v>
      </c>
      <c r="G29">
        <f t="shared" si="21"/>
        <v>10.000000000000002</v>
      </c>
      <c r="I29">
        <f t="shared" si="22"/>
        <v>0.11999999999999922</v>
      </c>
      <c r="J29">
        <f t="shared" si="22"/>
        <v>-1.1499999999999986</v>
      </c>
      <c r="L29">
        <f t="shared" si="23"/>
        <v>0.92018765062487551</v>
      </c>
      <c r="M29">
        <f t="shared" si="23"/>
        <v>2.2191389441356879</v>
      </c>
      <c r="O29">
        <f t="shared" si="24"/>
        <v>0.92951241561579556</v>
      </c>
      <c r="P29">
        <f t="shared" si="24"/>
        <v>2.2416266933705442</v>
      </c>
    </row>
    <row r="31" spans="1:16" x14ac:dyDescent="0.3">
      <c r="A31" t="s">
        <v>7</v>
      </c>
      <c r="F31" t="s">
        <v>7</v>
      </c>
      <c r="I31" t="s">
        <v>7</v>
      </c>
      <c r="L31" t="s">
        <v>7</v>
      </c>
      <c r="O31" t="s">
        <v>7</v>
      </c>
    </row>
    <row r="32" spans="1:16" x14ac:dyDescent="0.3">
      <c r="A32" t="s">
        <v>1</v>
      </c>
      <c r="C32" t="s">
        <v>8</v>
      </c>
      <c r="F32" t="s">
        <v>1</v>
      </c>
      <c r="G32" t="s">
        <v>8</v>
      </c>
      <c r="I32" t="s">
        <v>1</v>
      </c>
      <c r="J32" t="s">
        <v>8</v>
      </c>
      <c r="L32" t="s">
        <v>1</v>
      </c>
      <c r="M32" t="s">
        <v>8</v>
      </c>
      <c r="O32" t="s">
        <v>1</v>
      </c>
      <c r="P32" t="s">
        <v>8</v>
      </c>
    </row>
    <row r="33" spans="1:16" x14ac:dyDescent="0.3">
      <c r="A33">
        <v>11.34</v>
      </c>
      <c r="B33">
        <v>18.690000000000001</v>
      </c>
      <c r="C33">
        <v>11.2</v>
      </c>
      <c r="D33">
        <v>16.82</v>
      </c>
      <c r="F33">
        <f>B33-A33</f>
        <v>7.3500000000000014</v>
      </c>
      <c r="G33">
        <f>D33-C33</f>
        <v>5.620000000000001</v>
      </c>
      <c r="I33">
        <f>F33-7.35</f>
        <v>0</v>
      </c>
      <c r="J33">
        <f>G33-7.35</f>
        <v>-1.7299999999999986</v>
      </c>
      <c r="L33">
        <f>POWER(2,-I33)</f>
        <v>1</v>
      </c>
      <c r="M33">
        <f>POWER(2,-J33)</f>
        <v>3.3172781832577631</v>
      </c>
      <c r="O33">
        <f>L33/1.20996710487709</f>
        <v>0.82646874941412674</v>
      </c>
      <c r="P33">
        <f>M33/1.20996710487709</f>
        <v>2.7416267515758097</v>
      </c>
    </row>
    <row r="34" spans="1:16" x14ac:dyDescent="0.3">
      <c r="A34">
        <v>11.3</v>
      </c>
      <c r="B34">
        <v>18.25</v>
      </c>
      <c r="C34">
        <v>11.43</v>
      </c>
      <c r="D34">
        <v>15.92</v>
      </c>
      <c r="F34">
        <f t="shared" ref="F34:F35" si="25">B34-A34</f>
        <v>6.9499999999999993</v>
      </c>
      <c r="G34">
        <f t="shared" ref="G34:G35" si="26">D34-C34</f>
        <v>4.49</v>
      </c>
      <c r="I34">
        <f t="shared" ref="I34:J35" si="27">F34-7.35</f>
        <v>-0.40000000000000036</v>
      </c>
      <c r="J34">
        <f t="shared" si="27"/>
        <v>-2.8599999999999994</v>
      </c>
      <c r="L34">
        <f t="shared" ref="L34:M35" si="28">POWER(2,-I34)</f>
        <v>1.3195079107728946</v>
      </c>
      <c r="M34">
        <f t="shared" si="28"/>
        <v>7.2601532425372843</v>
      </c>
      <c r="O34">
        <f t="shared" ref="O34:P35" si="29">L34/1.20996710487709</f>
        <v>1.0905320528585214</v>
      </c>
      <c r="P34">
        <f t="shared" si="29"/>
        <v>6.0002897709147067</v>
      </c>
    </row>
    <row r="35" spans="1:16" x14ac:dyDescent="0.3">
      <c r="A35">
        <v>11.21</v>
      </c>
      <c r="B35">
        <v>18.170000000000002</v>
      </c>
      <c r="C35">
        <v>11.26</v>
      </c>
      <c r="D35">
        <v>16.38</v>
      </c>
      <c r="F35">
        <f t="shared" si="25"/>
        <v>6.9600000000000009</v>
      </c>
      <c r="G35">
        <f t="shared" si="26"/>
        <v>5.1199999999999992</v>
      </c>
      <c r="I35">
        <f t="shared" si="27"/>
        <v>-0.38999999999999879</v>
      </c>
      <c r="J35">
        <f t="shared" si="27"/>
        <v>-2.2300000000000004</v>
      </c>
      <c r="L35">
        <f t="shared" si="28"/>
        <v>1.3103934038583622</v>
      </c>
      <c r="M35">
        <f t="shared" si="28"/>
        <v>4.691339796927517</v>
      </c>
      <c r="O35">
        <f t="shared" si="29"/>
        <v>1.0829991977273412</v>
      </c>
      <c r="P35">
        <f t="shared" si="29"/>
        <v>3.8772457350434082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E5EA-9327-418A-9ADA-ED23A44D36E9}">
  <dimension ref="A1:P17"/>
  <sheetViews>
    <sheetView workbookViewId="0">
      <selection activeCell="F32" sqref="F32"/>
    </sheetView>
  </sheetViews>
  <sheetFormatPr defaultRowHeight="14" x14ac:dyDescent="0.3"/>
  <sheetData>
    <row r="1" spans="1:16" x14ac:dyDescent="0.3">
      <c r="A1" t="s">
        <v>0</v>
      </c>
      <c r="F1" t="s">
        <v>0</v>
      </c>
      <c r="I1" t="s">
        <v>0</v>
      </c>
      <c r="L1" t="s">
        <v>0</v>
      </c>
      <c r="O1" t="s">
        <v>0</v>
      </c>
    </row>
    <row r="2" spans="1:16" x14ac:dyDescent="0.3">
      <c r="A2" t="s">
        <v>1</v>
      </c>
      <c r="C2" t="s">
        <v>9</v>
      </c>
      <c r="F2" t="s">
        <v>1</v>
      </c>
      <c r="G2" t="s">
        <v>9</v>
      </c>
      <c r="I2" t="s">
        <v>1</v>
      </c>
      <c r="J2" t="s">
        <v>9</v>
      </c>
      <c r="L2" t="s">
        <v>1</v>
      </c>
      <c r="M2" t="s">
        <v>9</v>
      </c>
      <c r="O2" t="s">
        <v>1</v>
      </c>
      <c r="P2" t="s">
        <v>9</v>
      </c>
    </row>
    <row r="3" spans="1:16" x14ac:dyDescent="0.3">
      <c r="A3">
        <v>10.27</v>
      </c>
      <c r="B3">
        <v>21.71</v>
      </c>
      <c r="C3">
        <v>10.02</v>
      </c>
      <c r="D3">
        <v>13.42</v>
      </c>
      <c r="F3">
        <f>B3-A3</f>
        <v>11.440000000000001</v>
      </c>
      <c r="G3">
        <f>D3-C3</f>
        <v>3.4000000000000004</v>
      </c>
      <c r="I3">
        <f>F3-11.44</f>
        <v>0</v>
      </c>
      <c r="J3">
        <f>G3-11.44</f>
        <v>-8.0399999999999991</v>
      </c>
      <c r="L3">
        <f>POWER(2,-I3)</f>
        <v>1</v>
      </c>
      <c r="M3">
        <f>POWER(2,-J3)</f>
        <v>263.19713962395281</v>
      </c>
      <c r="O3">
        <f>L3/1.00489507380943</f>
        <v>0.99512877121501508</v>
      </c>
      <c r="P3">
        <f t="shared" ref="P3:P5" si="0">M3/1.00489507380943</f>
        <v>261.91504614129093</v>
      </c>
    </row>
    <row r="4" spans="1:16" x14ac:dyDescent="0.3">
      <c r="A4">
        <v>10.24</v>
      </c>
      <c r="B4">
        <v>21.63</v>
      </c>
      <c r="C4">
        <v>10.41</v>
      </c>
      <c r="D4">
        <v>13.07</v>
      </c>
      <c r="F4">
        <f t="shared" ref="F4:F5" si="1">B4-A4</f>
        <v>11.389999999999999</v>
      </c>
      <c r="G4">
        <f t="shared" ref="G4:G5" si="2">D4-C4</f>
        <v>2.66</v>
      </c>
      <c r="I4">
        <f t="shared" ref="I4:J5" si="3">F4-11.44</f>
        <v>-5.0000000000000711E-2</v>
      </c>
      <c r="J4">
        <f t="shared" si="3"/>
        <v>-8.7799999999999994</v>
      </c>
      <c r="L4">
        <f t="shared" ref="L4:M5" si="4">POWER(2,-I4)</f>
        <v>1.035264923841378</v>
      </c>
      <c r="M4">
        <f t="shared" si="4"/>
        <v>439.58550345612963</v>
      </c>
      <c r="O4">
        <f t="shared" ref="O4:O5" si="5">L4/1.00489507380943</f>
        <v>1.0302219115442768</v>
      </c>
      <c r="P4">
        <f t="shared" si="0"/>
        <v>437.44418189823205</v>
      </c>
    </row>
    <row r="5" spans="1:16" x14ac:dyDescent="0.3">
      <c r="A5">
        <v>10.1</v>
      </c>
      <c r="B5">
        <v>21.57</v>
      </c>
      <c r="C5">
        <v>10.29</v>
      </c>
      <c r="D5">
        <v>13.46</v>
      </c>
      <c r="F5">
        <f t="shared" si="1"/>
        <v>11.47</v>
      </c>
      <c r="G5">
        <f t="shared" si="2"/>
        <v>3.1700000000000017</v>
      </c>
      <c r="I5">
        <f t="shared" si="3"/>
        <v>3.0000000000001137E-2</v>
      </c>
      <c r="J5">
        <f t="shared" si="3"/>
        <v>-8.2699999999999978</v>
      </c>
      <c r="L5">
        <f t="shared" si="4"/>
        <v>0.97942029758692617</v>
      </c>
      <c r="M5">
        <f t="shared" si="4"/>
        <v>308.68680388883411</v>
      </c>
      <c r="O5">
        <f t="shared" si="5"/>
        <v>0.97464931724072223</v>
      </c>
      <c r="P5">
        <f t="shared" si="0"/>
        <v>307.18311984418585</v>
      </c>
    </row>
    <row r="7" spans="1:16" x14ac:dyDescent="0.3">
      <c r="A7" t="s">
        <v>0</v>
      </c>
      <c r="F7" t="s">
        <v>0</v>
      </c>
      <c r="I7" t="s">
        <v>0</v>
      </c>
      <c r="L7" t="s">
        <v>0</v>
      </c>
      <c r="O7" t="s">
        <v>0</v>
      </c>
    </row>
    <row r="8" spans="1:16" x14ac:dyDescent="0.3">
      <c r="A8" t="s">
        <v>1</v>
      </c>
      <c r="C8" t="s">
        <v>10</v>
      </c>
      <c r="F8" t="s">
        <v>1</v>
      </c>
      <c r="G8" t="s">
        <v>10</v>
      </c>
      <c r="I8" t="s">
        <v>1</v>
      </c>
      <c r="J8" t="s">
        <v>10</v>
      </c>
      <c r="L8" t="s">
        <v>1</v>
      </c>
      <c r="M8" t="s">
        <v>10</v>
      </c>
      <c r="O8" t="s">
        <v>1</v>
      </c>
      <c r="P8" t="s">
        <v>10</v>
      </c>
    </row>
    <row r="9" spans="1:16" x14ac:dyDescent="0.3">
      <c r="A9">
        <v>12.23</v>
      </c>
      <c r="B9">
        <v>20.2</v>
      </c>
      <c r="C9">
        <v>12.37</v>
      </c>
      <c r="D9">
        <v>12.19</v>
      </c>
      <c r="F9">
        <f>B9-A9</f>
        <v>7.9699999999999989</v>
      </c>
      <c r="G9">
        <f>D9-C9</f>
        <v>-0.17999999999999972</v>
      </c>
      <c r="I9">
        <f>F9-7.97</f>
        <v>0</v>
      </c>
      <c r="J9">
        <f>G9-7.97</f>
        <v>-8.1499999999999986</v>
      </c>
      <c r="L9">
        <f>POWER(2,-I9)</f>
        <v>1</v>
      </c>
      <c r="M9">
        <f>POWER(2,-J9)</f>
        <v>284.04978484936788</v>
      </c>
      <c r="O9">
        <f>L9/0.915033636195116</f>
        <v>1.0928560005271395</v>
      </c>
      <c r="P9">
        <f>M9/0.915033636195116</f>
        <v>310.42551182107462</v>
      </c>
    </row>
    <row r="10" spans="1:16" x14ac:dyDescent="0.3">
      <c r="A10">
        <v>12.13</v>
      </c>
      <c r="B10">
        <v>20.149999999999999</v>
      </c>
      <c r="C10">
        <v>12.3</v>
      </c>
      <c r="D10">
        <v>13.53</v>
      </c>
      <c r="F10">
        <f t="shared" ref="F10:F11" si="6">B10-A10</f>
        <v>8.0199999999999978</v>
      </c>
      <c r="G10">
        <f t="shared" ref="G10:G11" si="7">D10-C10</f>
        <v>1.2299999999999986</v>
      </c>
      <c r="I10">
        <f t="shared" ref="I10:J11" si="8">F10-7.97</f>
        <v>4.9999999999998046E-2</v>
      </c>
      <c r="J10">
        <f t="shared" si="8"/>
        <v>-6.7400000000000011</v>
      </c>
      <c r="L10">
        <f t="shared" ref="L10:M11" si="9">POWER(2,-I10)</f>
        <v>0.96593632892484693</v>
      </c>
      <c r="M10">
        <f t="shared" si="9"/>
        <v>106.89125368683136</v>
      </c>
      <c r="O10">
        <f t="shared" ref="O10:P11" si="10">L10/0.915033636195116</f>
        <v>1.0556293131926757</v>
      </c>
      <c r="P10">
        <f t="shared" si="10"/>
        <v>116.81674799552236</v>
      </c>
    </row>
    <row r="11" spans="1:16" x14ac:dyDescent="0.3">
      <c r="A11">
        <v>12.05</v>
      </c>
      <c r="B11">
        <v>20.38</v>
      </c>
      <c r="C11">
        <v>12.26</v>
      </c>
      <c r="D11">
        <v>13.03</v>
      </c>
      <c r="F11">
        <f t="shared" si="6"/>
        <v>8.3299999999999983</v>
      </c>
      <c r="G11">
        <f t="shared" si="7"/>
        <v>0.76999999999999957</v>
      </c>
      <c r="I11">
        <f t="shared" si="8"/>
        <v>0.35999999999999854</v>
      </c>
      <c r="J11">
        <f t="shared" si="8"/>
        <v>-7.2</v>
      </c>
      <c r="L11">
        <f t="shared" si="9"/>
        <v>0.77916457966050068</v>
      </c>
      <c r="M11">
        <f t="shared" si="9"/>
        <v>147.03338943962044</v>
      </c>
      <c r="O11">
        <f t="shared" si="10"/>
        <v>0.85151468628018445</v>
      </c>
      <c r="P11">
        <f t="shared" si="10"/>
        <v>160.68632192693292</v>
      </c>
    </row>
    <row r="13" spans="1:16" x14ac:dyDescent="0.3">
      <c r="A13" t="s">
        <v>0</v>
      </c>
      <c r="F13" t="s">
        <v>0</v>
      </c>
      <c r="I13" t="s">
        <v>0</v>
      </c>
      <c r="L13" t="s">
        <v>0</v>
      </c>
      <c r="O13" t="s">
        <v>0</v>
      </c>
    </row>
    <row r="14" spans="1:16" x14ac:dyDescent="0.3">
      <c r="A14" t="s">
        <v>1</v>
      </c>
      <c r="C14" t="s">
        <v>11</v>
      </c>
      <c r="F14" t="s">
        <v>1</v>
      </c>
      <c r="G14" t="s">
        <v>11</v>
      </c>
      <c r="I14" t="s">
        <v>1</v>
      </c>
      <c r="J14" t="s">
        <v>11</v>
      </c>
      <c r="L14" t="s">
        <v>1</v>
      </c>
      <c r="M14" t="s">
        <v>11</v>
      </c>
      <c r="O14" t="s">
        <v>1</v>
      </c>
      <c r="P14" t="s">
        <v>11</v>
      </c>
    </row>
    <row r="15" spans="1:16" x14ac:dyDescent="0.3">
      <c r="A15">
        <v>11.42</v>
      </c>
      <c r="B15">
        <v>25.91</v>
      </c>
      <c r="C15">
        <v>11.18</v>
      </c>
      <c r="D15">
        <v>18.28</v>
      </c>
      <c r="F15">
        <f>B15-A15</f>
        <v>14.49</v>
      </c>
      <c r="G15">
        <f>D15-C15</f>
        <v>7.1000000000000014</v>
      </c>
      <c r="I15">
        <f>F15-14.49</f>
        <v>0</v>
      </c>
      <c r="J15">
        <f>G15-14.49</f>
        <v>-7.3899999999999988</v>
      </c>
      <c r="L15">
        <f>POWER(2,-I15)</f>
        <v>1</v>
      </c>
      <c r="M15">
        <f>POWER(2,-J15)</f>
        <v>167.73035569387025</v>
      </c>
      <c r="O15">
        <f>L15/1.15539126650517</f>
        <v>0.86550766739374985</v>
      </c>
      <c r="P15">
        <f>M15/1.15539126650517</f>
        <v>145.17190890772559</v>
      </c>
    </row>
    <row r="16" spans="1:16" x14ac:dyDescent="0.3">
      <c r="A16">
        <v>11.04</v>
      </c>
      <c r="B16">
        <v>25.09</v>
      </c>
      <c r="C16">
        <v>11.16</v>
      </c>
      <c r="D16">
        <v>18.71</v>
      </c>
      <c r="F16">
        <f t="shared" ref="F16:F17" si="11">B16-A16</f>
        <v>14.05</v>
      </c>
      <c r="G16">
        <f t="shared" ref="G16:G17" si="12">D16-C16</f>
        <v>7.5500000000000007</v>
      </c>
      <c r="I16">
        <f t="shared" ref="I16:J17" si="13">F16-14.49</f>
        <v>-0.4399999999999995</v>
      </c>
      <c r="J16">
        <f t="shared" si="13"/>
        <v>-6.9399999999999995</v>
      </c>
      <c r="L16">
        <f t="shared" ref="L16:M17" si="14">POWER(2,-I16)</f>
        <v>1.3566043274476713</v>
      </c>
      <c r="M16">
        <f t="shared" si="14"/>
        <v>122.78580727363384</v>
      </c>
      <c r="O16">
        <f t="shared" ref="O16:P17" si="15">L16/1.15539126650517</f>
        <v>1.1741514470255008</v>
      </c>
      <c r="P16">
        <f t="shared" si="15"/>
        <v>106.27205764246133</v>
      </c>
    </row>
    <row r="17" spans="1:16" x14ac:dyDescent="0.3">
      <c r="A17">
        <v>11.34</v>
      </c>
      <c r="B17">
        <v>25.68</v>
      </c>
      <c r="C17">
        <v>11.31</v>
      </c>
      <c r="D17">
        <v>18.12</v>
      </c>
      <c r="F17">
        <f t="shared" si="11"/>
        <v>14.34</v>
      </c>
      <c r="G17">
        <f t="shared" si="12"/>
        <v>6.8100000000000005</v>
      </c>
      <c r="I17">
        <f t="shared" si="13"/>
        <v>-0.15000000000000036</v>
      </c>
      <c r="J17">
        <f t="shared" si="13"/>
        <v>-7.68</v>
      </c>
      <c r="L17">
        <f t="shared" si="14"/>
        <v>1.1095694720678453</v>
      </c>
      <c r="M17">
        <f t="shared" si="14"/>
        <v>205.07388866294309</v>
      </c>
      <c r="O17">
        <f t="shared" si="15"/>
        <v>0.96034088558075514</v>
      </c>
      <c r="P17">
        <f t="shared" si="15"/>
        <v>177.49302302002943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 22RV1</vt:lpstr>
      <vt:lpstr>B PC-3</vt:lpstr>
      <vt:lpstr>C-E EPHB1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Ada</cp:lastModifiedBy>
  <dcterms:created xsi:type="dcterms:W3CDTF">2015-06-05T18:19:34Z</dcterms:created>
  <dcterms:modified xsi:type="dcterms:W3CDTF">2024-11-19T05:50:59Z</dcterms:modified>
</cp:coreProperties>
</file>